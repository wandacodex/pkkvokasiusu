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ANDA\TAHUN 2026\DATA KEMAHASISWAAN\"/>
    </mc:Choice>
  </mc:AlternateContent>
  <xr:revisionPtr revIDLastSave="0" documentId="8_{28AC61C8-512E-4296-BF2D-CBFE41025D92}" xr6:coauthVersionLast="47" xr6:coauthVersionMax="47" xr10:uidLastSave="{00000000-0000-0000-0000-000000000000}"/>
  <bookViews>
    <workbookView xWindow="-120" yWindow="-120" windowWidth="29040" windowHeight="15720" xr2:uid="{B12F8796-2BE9-4987-AD3F-B5F706B2A60A}"/>
  </bookViews>
  <sheets>
    <sheet name="2025" sheetId="4" r:id="rId1"/>
    <sheet name="2024" sheetId="3" r:id="rId2"/>
    <sheet name="2023" sheetId="2" r:id="rId3"/>
    <sheet name="2022" sheetId="1" r:id="rId4"/>
  </sheets>
  <definedNames>
    <definedName name="_xlnm.Print_Area" localSheetId="3">'2022'!$A$1:$O$22</definedName>
    <definedName name="_xlnm.Print_Area" localSheetId="0">'2025'!$A$1:$BU$26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20" i="4" l="1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R19" i="4"/>
  <c r="BS19" i="4" s="1"/>
  <c r="BA19" i="4"/>
  <c r="BB19" i="4" s="1"/>
  <c r="AJ19" i="4"/>
  <c r="AK19" i="4" s="1"/>
  <c r="T19" i="4"/>
  <c r="S19" i="4"/>
  <c r="BT19" i="4" s="1"/>
  <c r="BU19" i="4" s="1"/>
  <c r="BR18" i="4"/>
  <c r="BS18" i="4" s="1"/>
  <c r="BA18" i="4"/>
  <c r="BB18" i="4" s="1"/>
  <c r="AK18" i="4"/>
  <c r="AJ18" i="4"/>
  <c r="S18" i="4"/>
  <c r="T18" i="4" s="1"/>
  <c r="BR17" i="4"/>
  <c r="BS17" i="4" s="1"/>
  <c r="BB17" i="4"/>
  <c r="BA17" i="4"/>
  <c r="AJ17" i="4"/>
  <c r="AK17" i="4" s="1"/>
  <c r="S17" i="4"/>
  <c r="T17" i="4" s="1"/>
  <c r="BS16" i="4"/>
  <c r="BR16" i="4"/>
  <c r="BA16" i="4"/>
  <c r="BB16" i="4" s="1"/>
  <c r="AJ16" i="4"/>
  <c r="AK16" i="4" s="1"/>
  <c r="S16" i="4"/>
  <c r="T16" i="4" s="1"/>
  <c r="BR15" i="4"/>
  <c r="BS15" i="4" s="1"/>
  <c r="BA15" i="4"/>
  <c r="BB15" i="4" s="1"/>
  <c r="AJ15" i="4"/>
  <c r="AK15" i="4" s="1"/>
  <c r="T15" i="4"/>
  <c r="S15" i="4"/>
  <c r="BT15" i="4" s="1"/>
  <c r="BU15" i="4" s="1"/>
  <c r="BR14" i="4"/>
  <c r="BS14" i="4" s="1"/>
  <c r="BA14" i="4"/>
  <c r="BB14" i="4" s="1"/>
  <c r="AK14" i="4"/>
  <c r="AJ14" i="4"/>
  <c r="S14" i="4"/>
  <c r="T14" i="4" s="1"/>
  <c r="BR13" i="4"/>
  <c r="BS13" i="4" s="1"/>
  <c r="BB13" i="4"/>
  <c r="BA13" i="4"/>
  <c r="AJ13" i="4"/>
  <c r="AK13" i="4" s="1"/>
  <c r="S13" i="4"/>
  <c r="T13" i="4" s="1"/>
  <c r="BS12" i="4"/>
  <c r="BR12" i="4"/>
  <c r="BA12" i="4"/>
  <c r="BB12" i="4" s="1"/>
  <c r="AJ12" i="4"/>
  <c r="AK12" i="4" s="1"/>
  <c r="S12" i="4"/>
  <c r="T12" i="4" s="1"/>
  <c r="BR11" i="4"/>
  <c r="BS11" i="4" s="1"/>
  <c r="BA11" i="4"/>
  <c r="BB11" i="4" s="1"/>
  <c r="AJ11" i="4"/>
  <c r="AK11" i="4" s="1"/>
  <c r="T11" i="4"/>
  <c r="S11" i="4"/>
  <c r="BT11" i="4" s="1"/>
  <c r="BU11" i="4" s="1"/>
  <c r="BR10" i="4"/>
  <c r="BS10" i="4" s="1"/>
  <c r="BA10" i="4"/>
  <c r="BB10" i="4" s="1"/>
  <c r="AK10" i="4"/>
  <c r="AJ10" i="4"/>
  <c r="S10" i="4"/>
  <c r="T10" i="4" s="1"/>
  <c r="BT9" i="4"/>
  <c r="BU9" i="4" s="1"/>
  <c r="BR9" i="4"/>
  <c r="BS9" i="4" s="1"/>
  <c r="BB9" i="4"/>
  <c r="BA9" i="4"/>
  <c r="AJ9" i="4"/>
  <c r="AK9" i="4" s="1"/>
  <c r="S9" i="4"/>
  <c r="T9" i="4" s="1"/>
  <c r="BS8" i="4"/>
  <c r="BR8" i="4"/>
  <c r="BA8" i="4"/>
  <c r="BB8" i="4" s="1"/>
  <c r="AJ8" i="4"/>
  <c r="AK8" i="4" s="1"/>
  <c r="S8" i="4"/>
  <c r="T8" i="4" s="1"/>
  <c r="BR7" i="4"/>
  <c r="BS7" i="4" s="1"/>
  <c r="BA7" i="4"/>
  <c r="BB7" i="4" s="1"/>
  <c r="AJ7" i="4"/>
  <c r="AK7" i="4" s="1"/>
  <c r="T7" i="4"/>
  <c r="S7" i="4"/>
  <c r="BT7" i="4" s="1"/>
  <c r="BU7" i="4" s="1"/>
  <c r="BR6" i="4"/>
  <c r="BR20" i="4" s="1"/>
  <c r="BA6" i="4"/>
  <c r="BB6" i="4" s="1"/>
  <c r="AK6" i="4"/>
  <c r="AJ6" i="4"/>
  <c r="AJ20" i="4" s="1"/>
  <c r="S6" i="4"/>
  <c r="T6" i="4" s="1"/>
  <c r="T20" i="4" l="1"/>
  <c r="AK20" i="4"/>
  <c r="BB20" i="4"/>
  <c r="BT8" i="4"/>
  <c r="BU8" i="4" s="1"/>
  <c r="BT12" i="4"/>
  <c r="BU12" i="4" s="1"/>
  <c r="BT16" i="4"/>
  <c r="BU16" i="4" s="1"/>
  <c r="S20" i="4"/>
  <c r="BT17" i="4"/>
  <c r="BU17" i="4" s="1"/>
  <c r="BT6" i="4"/>
  <c r="BT10" i="4"/>
  <c r="BU10" i="4" s="1"/>
  <c r="BT14" i="4"/>
  <c r="BU14" i="4" s="1"/>
  <c r="BT18" i="4"/>
  <c r="BU18" i="4" s="1"/>
  <c r="BA20" i="4"/>
  <c r="BS6" i="4"/>
  <c r="BS20" i="4" s="1"/>
  <c r="BT13" i="4"/>
  <c r="BU13" i="4" s="1"/>
  <c r="BT20" i="4" l="1"/>
  <c r="BU6" i="4"/>
  <c r="BU20" i="4" s="1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C25" i="3" s="1"/>
  <c r="D25" i="3" s="1"/>
  <c r="U20" i="3"/>
  <c r="R20" i="3"/>
  <c r="Q20" i="3"/>
  <c r="P20" i="3"/>
  <c r="O20" i="3"/>
  <c r="N20" i="3"/>
  <c r="M20" i="3"/>
  <c r="L20" i="3"/>
  <c r="K20" i="3"/>
  <c r="J20" i="3"/>
  <c r="I20" i="3"/>
  <c r="H20" i="3"/>
  <c r="C28" i="3" s="1"/>
  <c r="D28" i="3" s="1"/>
  <c r="G20" i="3"/>
  <c r="C27" i="3" s="1"/>
  <c r="D27" i="3" s="1"/>
  <c r="F20" i="3"/>
  <c r="C26" i="3" s="1"/>
  <c r="D26" i="3" s="1"/>
  <c r="E20" i="3"/>
  <c r="D20" i="3"/>
  <c r="C24" i="3" s="1"/>
  <c r="D24" i="3" s="1"/>
  <c r="C20" i="3"/>
  <c r="BR19" i="3"/>
  <c r="BS19" i="3" s="1"/>
  <c r="BA19" i="3"/>
  <c r="BT19" i="3" s="1"/>
  <c r="BU19" i="3" s="1"/>
  <c r="AK19" i="3"/>
  <c r="AJ19" i="3"/>
  <c r="S19" i="3"/>
  <c r="T19" i="3" s="1"/>
  <c r="BR18" i="3"/>
  <c r="BS18" i="3" s="1"/>
  <c r="BB18" i="3"/>
  <c r="BA18" i="3"/>
  <c r="AJ18" i="3"/>
  <c r="AK18" i="3" s="1"/>
  <c r="S18" i="3"/>
  <c r="BT18" i="3" s="1"/>
  <c r="BU18" i="3" s="1"/>
  <c r="BS17" i="3"/>
  <c r="BR17" i="3"/>
  <c r="BA17" i="3"/>
  <c r="BB17" i="3" s="1"/>
  <c r="AJ17" i="3"/>
  <c r="AK17" i="3" s="1"/>
  <c r="S17" i="3"/>
  <c r="T17" i="3" s="1"/>
  <c r="BR16" i="3"/>
  <c r="BS16" i="3" s="1"/>
  <c r="BA16" i="3"/>
  <c r="BB16" i="3" s="1"/>
  <c r="AJ16" i="3"/>
  <c r="AK16" i="3" s="1"/>
  <c r="T16" i="3"/>
  <c r="S16" i="3"/>
  <c r="BT16" i="3" s="1"/>
  <c r="BU16" i="3" s="1"/>
  <c r="BR15" i="3"/>
  <c r="BS15" i="3" s="1"/>
  <c r="BA15" i="3"/>
  <c r="BB15" i="3" s="1"/>
  <c r="AK15" i="3"/>
  <c r="AJ15" i="3"/>
  <c r="S15" i="3"/>
  <c r="BT15" i="3" s="1"/>
  <c r="BU15" i="3" s="1"/>
  <c r="BR14" i="3"/>
  <c r="BT14" i="3" s="1"/>
  <c r="BU14" i="3" s="1"/>
  <c r="BB14" i="3"/>
  <c r="BA14" i="3"/>
  <c r="AJ14" i="3"/>
  <c r="AK14" i="3" s="1"/>
  <c r="S14" i="3"/>
  <c r="T14" i="3" s="1"/>
  <c r="BS13" i="3"/>
  <c r="BR13" i="3"/>
  <c r="BA13" i="3"/>
  <c r="BB13" i="3" s="1"/>
  <c r="AJ13" i="3"/>
  <c r="AK13" i="3" s="1"/>
  <c r="S13" i="3"/>
  <c r="BT13" i="3" s="1"/>
  <c r="BU13" i="3" s="1"/>
  <c r="BR12" i="3"/>
  <c r="BS12" i="3" s="1"/>
  <c r="BA12" i="3"/>
  <c r="BB12" i="3" s="1"/>
  <c r="AJ12" i="3"/>
  <c r="AK12" i="3" s="1"/>
  <c r="T12" i="3"/>
  <c r="S12" i="3"/>
  <c r="BT12" i="3" s="1"/>
  <c r="BU12" i="3" s="1"/>
  <c r="BR11" i="3"/>
  <c r="BS11" i="3" s="1"/>
  <c r="BA11" i="3"/>
  <c r="BB11" i="3" s="1"/>
  <c r="AK11" i="3"/>
  <c r="AJ11" i="3"/>
  <c r="S11" i="3"/>
  <c r="BT11" i="3" s="1"/>
  <c r="BU11" i="3" s="1"/>
  <c r="BR10" i="3"/>
  <c r="BS10" i="3" s="1"/>
  <c r="BB10" i="3"/>
  <c r="BA10" i="3"/>
  <c r="AJ10" i="3"/>
  <c r="AK10" i="3" s="1"/>
  <c r="S10" i="3"/>
  <c r="BT10" i="3" s="1"/>
  <c r="BU10" i="3" s="1"/>
  <c r="BS9" i="3"/>
  <c r="BR9" i="3"/>
  <c r="BA9" i="3"/>
  <c r="BB9" i="3" s="1"/>
  <c r="AJ9" i="3"/>
  <c r="AK9" i="3" s="1"/>
  <c r="S9" i="3"/>
  <c r="BT9" i="3" s="1"/>
  <c r="BU9" i="3" s="1"/>
  <c r="BR8" i="3"/>
  <c r="BS8" i="3" s="1"/>
  <c r="BA8" i="3"/>
  <c r="BB8" i="3" s="1"/>
  <c r="AJ8" i="3"/>
  <c r="AK8" i="3" s="1"/>
  <c r="T8" i="3"/>
  <c r="S8" i="3"/>
  <c r="BT8" i="3" s="1"/>
  <c r="BU8" i="3" s="1"/>
  <c r="BR7" i="3"/>
  <c r="BS7" i="3" s="1"/>
  <c r="BA7" i="3"/>
  <c r="BT7" i="3" s="1"/>
  <c r="BU7" i="3" s="1"/>
  <c r="AK7" i="3"/>
  <c r="AJ7" i="3"/>
  <c r="S7" i="3"/>
  <c r="T7" i="3" s="1"/>
  <c r="BR6" i="3"/>
  <c r="BS6" i="3" s="1"/>
  <c r="BB6" i="3"/>
  <c r="BA6" i="3"/>
  <c r="AJ6" i="3"/>
  <c r="AK6" i="3" s="1"/>
  <c r="S6" i="3"/>
  <c r="T6" i="3" s="1"/>
  <c r="BT17" i="3" l="1"/>
  <c r="BU17" i="3" s="1"/>
  <c r="BB7" i="3"/>
  <c r="T9" i="3"/>
  <c r="T13" i="3"/>
  <c r="BS14" i="3"/>
  <c r="BB19" i="3"/>
  <c r="BT6" i="3"/>
  <c r="T10" i="3"/>
  <c r="T18" i="3"/>
  <c r="T11" i="3"/>
  <c r="T15" i="3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R20" i="2"/>
  <c r="Q20" i="2"/>
  <c r="P20" i="2"/>
  <c r="O20" i="2"/>
  <c r="N20" i="2"/>
  <c r="M20" i="2"/>
  <c r="L20" i="2"/>
  <c r="K20" i="2"/>
  <c r="J20" i="2"/>
  <c r="I20" i="2"/>
  <c r="H20" i="2"/>
  <c r="C28" i="2" s="1"/>
  <c r="D28" i="2" s="1"/>
  <c r="G20" i="2"/>
  <c r="C27" i="2" s="1"/>
  <c r="D27" i="2" s="1"/>
  <c r="F20" i="2"/>
  <c r="C26" i="2" s="1"/>
  <c r="D26" i="2" s="1"/>
  <c r="E20" i="2"/>
  <c r="C25" i="2" s="1"/>
  <c r="D25" i="2" s="1"/>
  <c r="D20" i="2"/>
  <c r="C24" i="2" s="1"/>
  <c r="D24" i="2" s="1"/>
  <c r="C20" i="2"/>
  <c r="BR19" i="2"/>
  <c r="BS19" i="2" s="1"/>
  <c r="BA19" i="2"/>
  <c r="BB19" i="2" s="1"/>
  <c r="AJ19" i="2"/>
  <c r="AK19" i="2" s="1"/>
  <c r="S19" i="2"/>
  <c r="T19" i="2" s="1"/>
  <c r="BR18" i="2"/>
  <c r="BS18" i="2" s="1"/>
  <c r="BA18" i="2"/>
  <c r="BB18" i="2" s="1"/>
  <c r="AJ18" i="2"/>
  <c r="AK18" i="2" s="1"/>
  <c r="S18" i="2"/>
  <c r="T18" i="2" s="1"/>
  <c r="BT17" i="2"/>
  <c r="BU17" i="2" s="1"/>
  <c r="BR17" i="2"/>
  <c r="BS17" i="2" s="1"/>
  <c r="BA17" i="2"/>
  <c r="BB17" i="2" s="1"/>
  <c r="AJ17" i="2"/>
  <c r="AK17" i="2" s="1"/>
  <c r="S17" i="2"/>
  <c r="T17" i="2" s="1"/>
  <c r="BR16" i="2"/>
  <c r="BS16" i="2" s="1"/>
  <c r="BA16" i="2"/>
  <c r="BB16" i="2" s="1"/>
  <c r="AJ16" i="2"/>
  <c r="AK16" i="2" s="1"/>
  <c r="S16" i="2"/>
  <c r="T16" i="2" s="1"/>
  <c r="BR15" i="2"/>
  <c r="BS15" i="2" s="1"/>
  <c r="BA15" i="2"/>
  <c r="BB15" i="2" s="1"/>
  <c r="AJ15" i="2"/>
  <c r="AK15" i="2" s="1"/>
  <c r="S15" i="2"/>
  <c r="T15" i="2" s="1"/>
  <c r="BR14" i="2"/>
  <c r="BS14" i="2" s="1"/>
  <c r="BA14" i="2"/>
  <c r="BB14" i="2" s="1"/>
  <c r="AJ14" i="2"/>
  <c r="AK14" i="2" s="1"/>
  <c r="S14" i="2"/>
  <c r="T14" i="2" s="1"/>
  <c r="BR13" i="2"/>
  <c r="BS13" i="2" s="1"/>
  <c r="BA13" i="2"/>
  <c r="BB13" i="2" s="1"/>
  <c r="AJ13" i="2"/>
  <c r="AK13" i="2" s="1"/>
  <c r="S13" i="2"/>
  <c r="BT13" i="2" s="1"/>
  <c r="BU13" i="2" s="1"/>
  <c r="BR12" i="2"/>
  <c r="BS12" i="2" s="1"/>
  <c r="BA12" i="2"/>
  <c r="BB12" i="2" s="1"/>
  <c r="AJ12" i="2"/>
  <c r="AK12" i="2" s="1"/>
  <c r="S12" i="2"/>
  <c r="T12" i="2" s="1"/>
  <c r="BR11" i="2"/>
  <c r="BS11" i="2" s="1"/>
  <c r="BA11" i="2"/>
  <c r="BB11" i="2" s="1"/>
  <c r="AJ11" i="2"/>
  <c r="AK11" i="2" s="1"/>
  <c r="S11" i="2"/>
  <c r="T11" i="2" s="1"/>
  <c r="BR10" i="2"/>
  <c r="BS10" i="2" s="1"/>
  <c r="BA10" i="2"/>
  <c r="BB10" i="2" s="1"/>
  <c r="AJ10" i="2"/>
  <c r="AK10" i="2" s="1"/>
  <c r="S10" i="2"/>
  <c r="T10" i="2" s="1"/>
  <c r="BT9" i="2"/>
  <c r="BU9" i="2" s="1"/>
  <c r="BR9" i="2"/>
  <c r="BS9" i="2" s="1"/>
  <c r="BA9" i="2"/>
  <c r="BB9" i="2" s="1"/>
  <c r="AJ9" i="2"/>
  <c r="AK9" i="2" s="1"/>
  <c r="S9" i="2"/>
  <c r="T9" i="2" s="1"/>
  <c r="BR8" i="2"/>
  <c r="BS8" i="2" s="1"/>
  <c r="BA8" i="2"/>
  <c r="BB8" i="2" s="1"/>
  <c r="AJ8" i="2"/>
  <c r="AK8" i="2" s="1"/>
  <c r="S8" i="2"/>
  <c r="T8" i="2" s="1"/>
  <c r="BR7" i="2"/>
  <c r="BS7" i="2" s="1"/>
  <c r="BA7" i="2"/>
  <c r="BB7" i="2" s="1"/>
  <c r="AJ7" i="2"/>
  <c r="AK7" i="2" s="1"/>
  <c r="S7" i="2"/>
  <c r="T7" i="2" s="1"/>
  <c r="BR6" i="2"/>
  <c r="BS6" i="2" s="1"/>
  <c r="BA6" i="2"/>
  <c r="BB6" i="2" s="1"/>
  <c r="AJ6" i="2"/>
  <c r="AK6" i="2" s="1"/>
  <c r="S6" i="2"/>
  <c r="T6" i="2" s="1"/>
  <c r="BT20" i="3" l="1"/>
  <c r="BU20" i="3" s="1"/>
  <c r="BU6" i="3"/>
  <c r="BT8" i="2"/>
  <c r="BU8" i="2" s="1"/>
  <c r="BT12" i="2"/>
  <c r="BU12" i="2" s="1"/>
  <c r="BT16" i="2"/>
  <c r="BU16" i="2" s="1"/>
  <c r="T13" i="2"/>
  <c r="BT10" i="2"/>
  <c r="BU10" i="2" s="1"/>
  <c r="BT18" i="2"/>
  <c r="BU18" i="2" s="1"/>
  <c r="BT6" i="2"/>
  <c r="BT14" i="2"/>
  <c r="BU14" i="2" s="1"/>
  <c r="BT7" i="2"/>
  <c r="BU7" i="2" s="1"/>
  <c r="BT11" i="2"/>
  <c r="BU11" i="2" s="1"/>
  <c r="BT15" i="2"/>
  <c r="BU15" i="2" s="1"/>
  <c r="BT19" i="2"/>
  <c r="BU19" i="2" s="1"/>
  <c r="BT20" i="2" l="1"/>
  <c r="BU20" i="2" s="1"/>
  <c r="BU6" i="2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R20" i="1"/>
  <c r="Q20" i="1"/>
  <c r="P20" i="1"/>
  <c r="O20" i="1"/>
  <c r="N20" i="1"/>
  <c r="M20" i="1"/>
  <c r="L20" i="1"/>
  <c r="K20" i="1"/>
  <c r="J20" i="1"/>
  <c r="I20" i="1"/>
  <c r="H20" i="1"/>
  <c r="C28" i="1" s="1"/>
  <c r="D28" i="1" s="1"/>
  <c r="G20" i="1"/>
  <c r="C27" i="1" s="1"/>
  <c r="D27" i="1" s="1"/>
  <c r="F20" i="1"/>
  <c r="C26" i="1" s="1"/>
  <c r="D26" i="1" s="1"/>
  <c r="E20" i="1"/>
  <c r="C25" i="1" s="1"/>
  <c r="D25" i="1" s="1"/>
  <c r="D20" i="1"/>
  <c r="C24" i="1" s="1"/>
  <c r="D24" i="1" s="1"/>
  <c r="C20" i="1"/>
  <c r="BT19" i="1"/>
  <c r="BU19" i="1" s="1"/>
  <c r="BS19" i="1"/>
  <c r="BR19" i="1"/>
  <c r="BA19" i="1"/>
  <c r="BB19" i="1" s="1"/>
  <c r="AK19" i="1"/>
  <c r="AJ19" i="1"/>
  <c r="S19" i="1"/>
  <c r="T19" i="1" s="1"/>
  <c r="BR18" i="1"/>
  <c r="BS18" i="1" s="1"/>
  <c r="BB18" i="1"/>
  <c r="BA18" i="1"/>
  <c r="AJ18" i="1"/>
  <c r="AK18" i="1" s="1"/>
  <c r="T18" i="1"/>
  <c r="S18" i="1"/>
  <c r="BT18" i="1" s="1"/>
  <c r="BU18" i="1" s="1"/>
  <c r="BS17" i="1"/>
  <c r="BR17" i="1"/>
  <c r="BA17" i="1"/>
  <c r="BB17" i="1" s="1"/>
  <c r="AK17" i="1"/>
  <c r="AJ17" i="1"/>
  <c r="BT17" i="1" s="1"/>
  <c r="BU17" i="1" s="1"/>
  <c r="S17" i="1"/>
  <c r="T17" i="1" s="1"/>
  <c r="BR16" i="1"/>
  <c r="BS16" i="1" s="1"/>
  <c r="BB16" i="1"/>
  <c r="BA16" i="1"/>
  <c r="AJ16" i="1"/>
  <c r="AK16" i="1" s="1"/>
  <c r="T16" i="1"/>
  <c r="S16" i="1"/>
  <c r="BT16" i="1" s="1"/>
  <c r="BU16" i="1" s="1"/>
  <c r="BS15" i="1"/>
  <c r="BR15" i="1"/>
  <c r="BA15" i="1"/>
  <c r="BB15" i="1" s="1"/>
  <c r="AK15" i="1"/>
  <c r="AJ15" i="1"/>
  <c r="S15" i="1"/>
  <c r="T15" i="1" s="1"/>
  <c r="BR14" i="1"/>
  <c r="BS14" i="1" s="1"/>
  <c r="BB14" i="1"/>
  <c r="BA14" i="1"/>
  <c r="AJ14" i="1"/>
  <c r="AK14" i="1" s="1"/>
  <c r="T14" i="1"/>
  <c r="S14" i="1"/>
  <c r="BT14" i="1" s="1"/>
  <c r="BU14" i="1" s="1"/>
  <c r="BS13" i="1"/>
  <c r="BR13" i="1"/>
  <c r="BA13" i="1"/>
  <c r="BB13" i="1" s="1"/>
  <c r="AK13" i="1"/>
  <c r="AJ13" i="1"/>
  <c r="S13" i="1"/>
  <c r="T13" i="1" s="1"/>
  <c r="BR12" i="1"/>
  <c r="BS12" i="1" s="1"/>
  <c r="BB12" i="1"/>
  <c r="BA12" i="1"/>
  <c r="AJ12" i="1"/>
  <c r="AK12" i="1" s="1"/>
  <c r="T12" i="1"/>
  <c r="S12" i="1"/>
  <c r="BT12" i="1" s="1"/>
  <c r="BU12" i="1" s="1"/>
  <c r="BS11" i="1"/>
  <c r="BR11" i="1"/>
  <c r="BA11" i="1"/>
  <c r="BB11" i="1" s="1"/>
  <c r="AK11" i="1"/>
  <c r="AJ11" i="1"/>
  <c r="S11" i="1"/>
  <c r="T11" i="1" s="1"/>
  <c r="BR10" i="1"/>
  <c r="BS10" i="1" s="1"/>
  <c r="BB10" i="1"/>
  <c r="BA10" i="1"/>
  <c r="AJ10" i="1"/>
  <c r="AK10" i="1" s="1"/>
  <c r="T10" i="1"/>
  <c r="S10" i="1"/>
  <c r="BT10" i="1" s="1"/>
  <c r="BU10" i="1" s="1"/>
  <c r="BS9" i="1"/>
  <c r="BR9" i="1"/>
  <c r="BA9" i="1"/>
  <c r="BB9" i="1" s="1"/>
  <c r="AK9" i="1"/>
  <c r="AJ9" i="1"/>
  <c r="S9" i="1"/>
  <c r="T9" i="1" s="1"/>
  <c r="BR8" i="1"/>
  <c r="BS8" i="1" s="1"/>
  <c r="BB8" i="1"/>
  <c r="BA8" i="1"/>
  <c r="AJ8" i="1"/>
  <c r="AK8" i="1" s="1"/>
  <c r="T8" i="1"/>
  <c r="S8" i="1"/>
  <c r="BT8" i="1" s="1"/>
  <c r="BU8" i="1" s="1"/>
  <c r="BS7" i="1"/>
  <c r="BR7" i="1"/>
  <c r="BA7" i="1"/>
  <c r="BB7" i="1" s="1"/>
  <c r="AK7" i="1"/>
  <c r="AJ7" i="1"/>
  <c r="S7" i="1"/>
  <c r="T7" i="1" s="1"/>
  <c r="BR6" i="1"/>
  <c r="BS6" i="1" s="1"/>
  <c r="BB6" i="1"/>
  <c r="BA6" i="1"/>
  <c r="AJ6" i="1"/>
  <c r="AK6" i="1" s="1"/>
  <c r="T6" i="1"/>
  <c r="S6" i="1"/>
  <c r="BT6" i="1" s="1"/>
  <c r="BU6" i="1" l="1"/>
  <c r="BT9" i="1"/>
  <c r="BU9" i="1" s="1"/>
  <c r="BT13" i="1"/>
  <c r="BU13" i="1" s="1"/>
  <c r="BT7" i="1"/>
  <c r="BU7" i="1" s="1"/>
  <c r="BT11" i="1"/>
  <c r="BU11" i="1" s="1"/>
  <c r="BT15" i="1"/>
  <c r="BU15" i="1" s="1"/>
  <c r="BT20" i="1" l="1"/>
  <c r="BU20" i="1" s="1"/>
</calcChain>
</file>

<file path=xl/sharedStrings.xml><?xml version="1.0" encoding="utf-8"?>
<sst xmlns="http://schemas.openxmlformats.org/spreadsheetml/2006/main" count="265" uniqueCount="65">
  <si>
    <t>No</t>
  </si>
  <si>
    <t>FAKULTAS VOKASI</t>
  </si>
  <si>
    <t>Lulusan 2022</t>
  </si>
  <si>
    <t xml:space="preserve">Triwulan I   </t>
  </si>
  <si>
    <t>Triwulan II</t>
  </si>
  <si>
    <t>Triwulan III</t>
  </si>
  <si>
    <t>Triwulan IV</t>
  </si>
  <si>
    <t>GRAND TOTAL</t>
  </si>
  <si>
    <t>JANUARI</t>
  </si>
  <si>
    <t>FEBRUARI</t>
  </si>
  <si>
    <t>MARET</t>
  </si>
  <si>
    <t>Grand Total</t>
  </si>
  <si>
    <t>APRIL</t>
  </si>
  <si>
    <t>MEI</t>
  </si>
  <si>
    <t>JUNI</t>
  </si>
  <si>
    <t>JULI</t>
  </si>
  <si>
    <t>AGUSTUS</t>
  </si>
  <si>
    <t>SEPTEMBER</t>
  </si>
  <si>
    <t>Total</t>
  </si>
  <si>
    <t>OKTOBER</t>
  </si>
  <si>
    <t>NOVEMBER</t>
  </si>
  <si>
    <t>DESEMBER</t>
  </si>
  <si>
    <t>Jumlah Pengisi</t>
  </si>
  <si>
    <t>Persen</t>
  </si>
  <si>
    <t>D3 Akuntansi</t>
  </si>
  <si>
    <t>D3 Keuangan</t>
  </si>
  <si>
    <t>D3 Kesekretariatan</t>
  </si>
  <si>
    <t>D3 Adm Perpajakan</t>
  </si>
  <si>
    <t>D3 Analisis Farmasi &amp; Makanan</t>
  </si>
  <si>
    <t>D3 Statistika</t>
  </si>
  <si>
    <t>D3 Metrologi dan Instrumensasi</t>
  </si>
  <si>
    <t>D3 Teknik Informatika</t>
  </si>
  <si>
    <t>D3 Fisika</t>
  </si>
  <si>
    <t>D3 Kimia</t>
  </si>
  <si>
    <t>D3 Bahasa Jepang</t>
  </si>
  <si>
    <t xml:space="preserve">D3 Bahasa Inggris </t>
  </si>
  <si>
    <t>D3 Perjalanan Wisata</t>
  </si>
  <si>
    <t>D3 Perpustakaan</t>
  </si>
  <si>
    <t>TOTAL LULUSAN</t>
  </si>
  <si>
    <t>Keterangan</t>
  </si>
  <si>
    <t>Persentase Pengisi (%)</t>
  </si>
  <si>
    <t>1 : Bekerja</t>
  </si>
  <si>
    <t>2 : Belum memungkinkan bekerja</t>
  </si>
  <si>
    <t>3 : Wiraswasta</t>
  </si>
  <si>
    <t>4 : Melanjutkan pendidikan</t>
  </si>
  <si>
    <t>5 : Tidak Kerja tetapi sedang mencari</t>
  </si>
  <si>
    <t>ho</t>
  </si>
  <si>
    <t>Lulusan 2023</t>
  </si>
  <si>
    <t>Lulusan 2024</t>
  </si>
  <si>
    <t>LAPORAN TRACER STUDY FAKULTAS LULUSAN 2025</t>
  </si>
  <si>
    <t>PROGRAM STUDI</t>
  </si>
  <si>
    <t>Lulusan 2025</t>
  </si>
  <si>
    <t>Triwulan I</t>
  </si>
  <si>
    <t>Grand Total Respons Rate</t>
  </si>
  <si>
    <t>Total Respons Rate</t>
  </si>
  <si>
    <t>D3 Analis Farmasi dan Makanan</t>
  </si>
  <si>
    <t>D3 Perpajakan</t>
  </si>
  <si>
    <t>D3 Bahasa Inggris</t>
  </si>
  <si>
    <t>D3 Metrologi dan Instrumentasi</t>
  </si>
  <si>
    <t>a</t>
  </si>
  <si>
    <t>1 : sudah bekerja</t>
  </si>
  <si>
    <t>2 : belum memungkinkan bekerja</t>
  </si>
  <si>
    <t>3 : wiraswasta</t>
  </si>
  <si>
    <t>4 : melanjutkan pendidikan</t>
  </si>
  <si>
    <t>5 : belum bekerja, masih mencari 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</si>
</sst>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Calibri"/>
      <family val="2"/>
      <scheme val="minor"/>
    </font>
    <font>
      <b/>
      <sz val="15"/>
      <name val="Arial"/>
      <family val="2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5"/>
      <color theme="1"/>
      <name val="Arial"/>
      <family val="2"/>
    </font>
    <font>
      <sz val="15"/>
      <name val="Arial"/>
      <family val="2"/>
    </font>
    <font>
      <b/>
      <sz val="30"/>
      <name val="Arial"/>
      <family val="2"/>
    </font>
    <font>
      <sz val="15"/>
      <color rgb="FFFF0000"/>
      <name val="Arial"/>
      <family val="2"/>
    </font>
    <font>
      <sz val="10"/>
      <name val="Arial"/>
      <family val="2"/>
    </font>
    <font>
      <b/>
      <sz val="30"/>
      <color rgb="FFFF0000"/>
      <name val="Arial"/>
      <family val="2"/>
    </font>
    <font>
      <sz val="11"/>
      <color rgb="FF000000"/>
      <name val="Calibri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8F6A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8F4A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3" fillId="0" borderId="0"/>
  </cellStyleXfs>
  <cellXfs count="110">
    <xf numFmtId="0" fontId="0" fillId="0" borderId="0" xfId="0"/>
    <xf numFmtId="0" fontId="2" fillId="0" borderId="0" xfId="2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4" fillId="6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5" xfId="2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4" fillId="6" borderId="2" xfId="2" applyFont="1" applyFill="1" applyBorder="1" applyAlignment="1">
      <alignment horizontal="center" vertical="center" wrapText="1"/>
    </xf>
    <xf numFmtId="0" fontId="4" fillId="6" borderId="3" xfId="2" applyFont="1" applyFill="1" applyBorder="1" applyAlignment="1">
      <alignment horizontal="center" vertical="center" wrapText="1"/>
    </xf>
    <xf numFmtId="0" fontId="4" fillId="6" borderId="4" xfId="2" applyFont="1" applyFill="1" applyBorder="1" applyAlignment="1">
      <alignment horizontal="center" vertical="center" wrapText="1"/>
    </xf>
    <xf numFmtId="0" fontId="4" fillId="6" borderId="5" xfId="2" applyFont="1" applyFill="1" applyBorder="1" applyAlignment="1">
      <alignment horizontal="center" vertical="center" wrapText="1"/>
    </xf>
    <xf numFmtId="0" fontId="4" fillId="6" borderId="6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4" borderId="8" xfId="2" applyFont="1" applyFill="1" applyBorder="1" applyAlignment="1">
      <alignment horizontal="center" vertical="center" wrapText="1"/>
    </xf>
    <xf numFmtId="0" fontId="4" fillId="5" borderId="7" xfId="2" applyFont="1" applyFill="1" applyBorder="1" applyAlignment="1">
      <alignment horizontal="center" vertical="center" wrapText="1"/>
    </xf>
    <xf numFmtId="0" fontId="4" fillId="5" borderId="8" xfId="2" applyFont="1" applyFill="1" applyBorder="1" applyAlignment="1">
      <alignment horizontal="center" vertical="center" wrapText="1"/>
    </xf>
    <xf numFmtId="0" fontId="4" fillId="6" borderId="7" xfId="2" applyFont="1" applyFill="1" applyBorder="1" applyAlignment="1">
      <alignment horizontal="center" vertical="center" wrapText="1"/>
    </xf>
    <xf numFmtId="0" fontId="4" fillId="6" borderId="8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4" fillId="6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2" fillId="3" borderId="1" xfId="2" applyFont="1" applyFill="1" applyBorder="1" applyAlignment="1">
      <alignment horizontal="center" vertical="center" wrapText="1"/>
    </xf>
    <xf numFmtId="9" fontId="2" fillId="3" borderId="1" xfId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9" fontId="2" fillId="4" borderId="1" xfId="1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9" fontId="2" fillId="5" borderId="1" xfId="1" applyFont="1" applyFill="1" applyBorder="1" applyAlignment="1">
      <alignment horizontal="center" vertical="center" wrapText="1"/>
    </xf>
    <xf numFmtId="0" fontId="2" fillId="6" borderId="1" xfId="2" applyFont="1" applyFill="1" applyBorder="1" applyAlignment="1">
      <alignment horizontal="center" vertical="center" wrapText="1"/>
    </xf>
    <xf numFmtId="9" fontId="2" fillId="6" borderId="1" xfId="1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9" fontId="4" fillId="3" borderId="1" xfId="1" applyFont="1" applyFill="1" applyBorder="1" applyAlignment="1">
      <alignment horizontal="center" vertical="center" wrapText="1"/>
    </xf>
    <xf numFmtId="9" fontId="4" fillId="4" borderId="1" xfId="1" applyFont="1" applyFill="1" applyBorder="1" applyAlignment="1">
      <alignment horizontal="center" vertical="center" wrapText="1"/>
    </xf>
    <xf numFmtId="9" fontId="4" fillId="5" borderId="1" xfId="1" applyFont="1" applyFill="1" applyBorder="1" applyAlignment="1">
      <alignment horizontal="center" vertical="center" wrapText="1"/>
    </xf>
    <xf numFmtId="9" fontId="4" fillId="6" borderId="1" xfId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right" vertical="center" wrapText="1"/>
    </xf>
    <xf numFmtId="0" fontId="4" fillId="7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9" fontId="4" fillId="7" borderId="1" xfId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6" borderId="1" xfId="2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1" fillId="0" borderId="1" xfId="2" applyFont="1" applyBorder="1" applyAlignment="1">
      <alignment horizontal="left" vertical="center" wrapText="1"/>
    </xf>
    <xf numFmtId="4" fontId="11" fillId="6" borderId="1" xfId="2" applyNumberFormat="1" applyFont="1" applyFill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4" fillId="0" borderId="10" xfId="3" applyFont="1" applyBorder="1" applyAlignment="1">
      <alignment horizontal="center" vertical="center" wrapText="1"/>
    </xf>
    <xf numFmtId="0" fontId="14" fillId="0" borderId="11" xfId="3" applyFont="1" applyBorder="1" applyAlignment="1">
      <alignment horizontal="center" vertical="center" wrapText="1"/>
    </xf>
    <xf numFmtId="0" fontId="14" fillId="0" borderId="0" xfId="3" applyFont="1" applyAlignment="1">
      <alignment wrapText="1"/>
    </xf>
    <xf numFmtId="0" fontId="14" fillId="8" borderId="12" xfId="3" applyFont="1" applyFill="1" applyBorder="1" applyAlignment="1">
      <alignment horizontal="center" vertical="center" wrapText="1"/>
    </xf>
    <xf numFmtId="0" fontId="14" fillId="8" borderId="1" xfId="3" applyFont="1" applyFill="1" applyBorder="1" applyAlignment="1">
      <alignment horizontal="center" vertical="center" wrapText="1"/>
    </xf>
    <xf numFmtId="0" fontId="14" fillId="9" borderId="1" xfId="3" applyFont="1" applyFill="1" applyBorder="1" applyAlignment="1">
      <alignment horizontal="center" vertical="center" wrapText="1"/>
    </xf>
    <xf numFmtId="0" fontId="14" fillId="10" borderId="1" xfId="3" applyFont="1" applyFill="1" applyBorder="1" applyAlignment="1">
      <alignment horizontal="center" vertical="center" wrapText="1"/>
    </xf>
    <xf numFmtId="0" fontId="14" fillId="11" borderId="1" xfId="3" applyFont="1" applyFill="1" applyBorder="1" applyAlignment="1">
      <alignment horizontal="center" vertical="center" wrapText="1"/>
    </xf>
    <xf numFmtId="0" fontId="14" fillId="12" borderId="1" xfId="3" applyFont="1" applyFill="1" applyBorder="1" applyAlignment="1">
      <alignment horizontal="center" vertical="center" wrapText="1"/>
    </xf>
    <xf numFmtId="0" fontId="14" fillId="8" borderId="13" xfId="3" applyFont="1" applyFill="1" applyBorder="1" applyAlignment="1">
      <alignment horizontal="center" vertical="center" wrapText="1"/>
    </xf>
    <xf numFmtId="0" fontId="14" fillId="8" borderId="14" xfId="3" applyFont="1" applyFill="1" applyBorder="1" applyAlignment="1">
      <alignment horizontal="center" vertical="center" wrapText="1"/>
    </xf>
    <xf numFmtId="0" fontId="14" fillId="9" borderId="1" xfId="3" applyFont="1" applyFill="1" applyBorder="1" applyAlignment="1">
      <alignment horizontal="center" vertical="center" wrapText="1"/>
    </xf>
    <xf numFmtId="0" fontId="14" fillId="10" borderId="1" xfId="3" applyFont="1" applyFill="1" applyBorder="1" applyAlignment="1">
      <alignment horizontal="center" vertical="center" wrapText="1"/>
    </xf>
    <xf numFmtId="0" fontId="14" fillId="11" borderId="1" xfId="3" applyFont="1" applyFill="1" applyBorder="1" applyAlignment="1">
      <alignment horizontal="center" vertical="center" wrapText="1"/>
    </xf>
    <xf numFmtId="0" fontId="14" fillId="12" borderId="1" xfId="3" applyFont="1" applyFill="1" applyBorder="1" applyAlignment="1">
      <alignment horizontal="center" vertical="center" wrapText="1"/>
    </xf>
    <xf numFmtId="0" fontId="14" fillId="8" borderId="1" xfId="3" applyFont="1" applyFill="1" applyBorder="1" applyAlignment="1">
      <alignment horizontal="center" vertical="center" wrapText="1"/>
    </xf>
    <xf numFmtId="0" fontId="14" fillId="8" borderId="15" xfId="3" applyFont="1" applyFill="1" applyBorder="1" applyAlignment="1">
      <alignment horizontal="center" vertical="center" wrapText="1"/>
    </xf>
    <xf numFmtId="0" fontId="14" fillId="8" borderId="1" xfId="3" applyFont="1" applyFill="1" applyBorder="1" applyAlignment="1">
      <alignment vertical="center" wrapText="1"/>
    </xf>
    <xf numFmtId="0" fontId="14" fillId="8" borderId="1" xfId="3" applyFont="1" applyFill="1" applyBorder="1" applyAlignment="1">
      <alignment horizontal="center" wrapText="1"/>
    </xf>
    <xf numFmtId="0" fontId="14" fillId="9" borderId="1" xfId="3" applyFont="1" applyFill="1" applyBorder="1" applyAlignment="1">
      <alignment horizontal="right" wrapText="1"/>
    </xf>
    <xf numFmtId="9" fontId="14" fillId="9" borderId="1" xfId="3" applyNumberFormat="1" applyFont="1" applyFill="1" applyBorder="1" applyAlignment="1">
      <alignment horizontal="center" vertical="center" wrapText="1"/>
    </xf>
    <xf numFmtId="0" fontId="14" fillId="10" borderId="1" xfId="3" applyFont="1" applyFill="1" applyBorder="1" applyAlignment="1">
      <alignment horizontal="right" wrapText="1"/>
    </xf>
    <xf numFmtId="9" fontId="14" fillId="10" borderId="1" xfId="3" applyNumberFormat="1" applyFont="1" applyFill="1" applyBorder="1" applyAlignment="1">
      <alignment horizontal="center" vertical="center" wrapText="1"/>
    </xf>
    <xf numFmtId="0" fontId="14" fillId="13" borderId="1" xfId="3" applyFont="1" applyFill="1" applyBorder="1" applyAlignment="1">
      <alignment horizontal="right" wrapText="1"/>
    </xf>
    <xf numFmtId="9" fontId="14" fillId="11" borderId="1" xfId="3" applyNumberFormat="1" applyFont="1" applyFill="1" applyBorder="1" applyAlignment="1">
      <alignment horizontal="center" vertical="center" wrapText="1"/>
    </xf>
    <xf numFmtId="0" fontId="14" fillId="12" borderId="1" xfId="3" applyFont="1" applyFill="1" applyBorder="1" applyAlignment="1">
      <alignment horizontal="right" wrapText="1"/>
    </xf>
    <xf numFmtId="0" fontId="14" fillId="12" borderId="1" xfId="3" applyFont="1" applyFill="1" applyBorder="1" applyAlignment="1">
      <alignment vertical="center" wrapText="1"/>
    </xf>
    <xf numFmtId="9" fontId="14" fillId="12" borderId="1" xfId="3" applyNumberFormat="1" applyFont="1" applyFill="1" applyBorder="1" applyAlignment="1">
      <alignment horizontal="center" vertical="center" wrapText="1"/>
    </xf>
    <xf numFmtId="9" fontId="14" fillId="8" borderId="1" xfId="3" applyNumberFormat="1" applyFont="1" applyFill="1" applyBorder="1" applyAlignment="1">
      <alignment horizontal="center" vertical="center" wrapText="1"/>
    </xf>
    <xf numFmtId="0" fontId="14" fillId="0" borderId="16" xfId="3" applyFont="1" applyBorder="1" applyAlignment="1">
      <alignment vertical="center" wrapText="1"/>
    </xf>
    <xf numFmtId="0" fontId="14" fillId="0" borderId="1" xfId="3" applyFont="1" applyBorder="1" applyAlignment="1">
      <alignment horizontal="right" vertical="center" wrapText="1"/>
    </xf>
    <xf numFmtId="0" fontId="14" fillId="7" borderId="1" xfId="3" applyFont="1" applyFill="1" applyBorder="1" applyAlignment="1">
      <alignment horizontal="center" vertical="center" wrapText="1"/>
    </xf>
    <xf numFmtId="0" fontId="15" fillId="8" borderId="1" xfId="3" applyFont="1" applyFill="1" applyBorder="1" applyAlignment="1">
      <alignment horizontal="center" vertical="center" wrapText="1"/>
    </xf>
    <xf numFmtId="9" fontId="14" fillId="8" borderId="1" xfId="3" applyNumberFormat="1" applyFont="1" applyFill="1" applyBorder="1" applyAlignment="1">
      <alignment vertical="center" wrapText="1"/>
    </xf>
    <xf numFmtId="9" fontId="14" fillId="7" borderId="1" xfId="3" applyNumberFormat="1" applyFont="1" applyFill="1" applyBorder="1" applyAlignment="1">
      <alignment horizontal="center" vertical="center" wrapText="1"/>
    </xf>
    <xf numFmtId="0" fontId="14" fillId="0" borderId="0" xfId="3" applyFont="1"/>
  </cellXfs>
  <cellStyles count="4">
    <cellStyle name="Normal" xfId="0" builtinId="0"/>
    <cellStyle name="Normal 2" xfId="2" xr:uid="{AD78B30F-DD8C-465D-99B1-3DDB6A0A930A}"/>
    <cellStyle name="Normal 3" xfId="3" xr:uid="{7224C0C9-9A8B-434E-80AF-02EF750D2E9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C1F4-DC3C-4F7B-9C50-39F253B68EB9}">
  <dimension ref="A1:BU26"/>
  <sheetViews>
    <sheetView tabSelected="1" topLeftCell="B1" zoomScale="115" zoomScaleNormal="115" workbookViewId="0">
      <pane xSplit="1" topLeftCell="C1" activePane="topRight" state="frozen"/>
      <selection activeCell="B1" sqref="B1"/>
      <selection pane="topRight" activeCell="CA9" sqref="CA9"/>
    </sheetView>
  </sheetViews>
  <sheetFormatPr defaultRowHeight="12" x14ac:dyDescent="0.2"/>
  <cols>
    <col min="1" max="1" width="3.140625" style="76" bestFit="1" customWidth="1"/>
    <col min="2" max="2" width="23.7109375" style="76" customWidth="1"/>
    <col min="3" max="3" width="6.5703125" style="76" customWidth="1"/>
    <col min="4" max="7" width="2.7109375" style="76" bestFit="1" customWidth="1"/>
    <col min="8" max="8" width="3.5703125" style="76" bestFit="1" customWidth="1"/>
    <col min="9" max="12" width="1.85546875" style="76" bestFit="1" customWidth="1"/>
    <col min="13" max="13" width="2.7109375" style="76" bestFit="1" customWidth="1"/>
    <col min="14" max="18" width="1.85546875" style="76" bestFit="1" customWidth="1"/>
    <col min="19" max="19" width="5" style="76" bestFit="1" customWidth="1"/>
    <col min="20" max="20" width="6.28515625" style="76" bestFit="1" customWidth="1"/>
    <col min="21" max="35" width="1.85546875" style="76" bestFit="1" customWidth="1"/>
    <col min="36" max="36" width="5" style="76" bestFit="1" customWidth="1"/>
    <col min="37" max="37" width="6" style="76" customWidth="1"/>
    <col min="38" max="38" width="2.7109375" style="76" bestFit="1" customWidth="1"/>
    <col min="39" max="41" width="1.85546875" style="76" bestFit="1" customWidth="1"/>
    <col min="42" max="42" width="2.7109375" style="76" bestFit="1" customWidth="1"/>
    <col min="43" max="43" width="1.85546875" style="76" bestFit="1" customWidth="1"/>
    <col min="44" max="44" width="2" style="76" bestFit="1" customWidth="1"/>
    <col min="45" max="52" width="1.85546875" style="76" bestFit="1" customWidth="1"/>
    <col min="53" max="53" width="5" style="76" bestFit="1" customWidth="1"/>
    <col min="54" max="54" width="6" style="76" customWidth="1"/>
    <col min="55" max="69" width="1.85546875" style="76" hidden="1" customWidth="1"/>
    <col min="70" max="70" width="5" style="76" hidden="1" customWidth="1"/>
    <col min="71" max="71" width="6.28515625" style="76" hidden="1" customWidth="1"/>
    <col min="72" max="72" width="5" style="76" bestFit="1" customWidth="1"/>
    <col min="73" max="73" width="6.28515625" style="76" bestFit="1" customWidth="1"/>
    <col min="74" max="16384" width="9.140625" style="76"/>
  </cols>
  <sheetData>
    <row r="1" spans="1:73" ht="12.75" thickBot="1" x14ac:dyDescent="0.25">
      <c r="A1" s="73" t="s">
        <v>49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5"/>
    </row>
    <row r="2" spans="1:73" x14ac:dyDescent="0.2">
      <c r="A2" s="77" t="s">
        <v>0</v>
      </c>
      <c r="B2" s="78" t="s">
        <v>50</v>
      </c>
      <c r="C2" s="78" t="s">
        <v>51</v>
      </c>
      <c r="D2" s="79" t="s">
        <v>52</v>
      </c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80" t="s">
        <v>4</v>
      </c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 t="s">
        <v>5</v>
      </c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2" t="s">
        <v>6</v>
      </c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78" t="s">
        <v>53</v>
      </c>
      <c r="BU2" s="78"/>
    </row>
    <row r="3" spans="1:73" x14ac:dyDescent="0.2">
      <c r="A3" s="83"/>
      <c r="B3" s="78"/>
      <c r="C3" s="78"/>
      <c r="D3" s="79">
        <v>1</v>
      </c>
      <c r="E3" s="79"/>
      <c r="F3" s="79"/>
      <c r="G3" s="79"/>
      <c r="H3" s="79"/>
      <c r="I3" s="79">
        <v>2</v>
      </c>
      <c r="J3" s="79"/>
      <c r="K3" s="79"/>
      <c r="L3" s="79"/>
      <c r="M3" s="79"/>
      <c r="N3" s="79">
        <v>3</v>
      </c>
      <c r="O3" s="79"/>
      <c r="P3" s="79"/>
      <c r="Q3" s="79"/>
      <c r="R3" s="79"/>
      <c r="S3" s="79" t="s">
        <v>54</v>
      </c>
      <c r="T3" s="79"/>
      <c r="U3" s="80">
        <v>4</v>
      </c>
      <c r="V3" s="80"/>
      <c r="W3" s="80"/>
      <c r="X3" s="80"/>
      <c r="Y3" s="80"/>
      <c r="Z3" s="80">
        <v>5</v>
      </c>
      <c r="AA3" s="80"/>
      <c r="AB3" s="80"/>
      <c r="AC3" s="80"/>
      <c r="AD3" s="80"/>
      <c r="AE3" s="80">
        <v>6</v>
      </c>
      <c r="AF3" s="80"/>
      <c r="AG3" s="80"/>
      <c r="AH3" s="80"/>
      <c r="AI3" s="80"/>
      <c r="AJ3" s="80" t="s">
        <v>54</v>
      </c>
      <c r="AK3" s="80"/>
      <c r="AL3" s="81">
        <v>7</v>
      </c>
      <c r="AM3" s="81"/>
      <c r="AN3" s="81"/>
      <c r="AO3" s="81"/>
      <c r="AP3" s="81"/>
      <c r="AQ3" s="81">
        <v>8</v>
      </c>
      <c r="AR3" s="81"/>
      <c r="AS3" s="81"/>
      <c r="AT3" s="81"/>
      <c r="AU3" s="81"/>
      <c r="AV3" s="81">
        <v>9</v>
      </c>
      <c r="AW3" s="81"/>
      <c r="AX3" s="81"/>
      <c r="AY3" s="81"/>
      <c r="AZ3" s="81"/>
      <c r="BA3" s="81" t="s">
        <v>54</v>
      </c>
      <c r="BB3" s="81"/>
      <c r="BC3" s="82">
        <v>10</v>
      </c>
      <c r="BD3" s="82"/>
      <c r="BE3" s="82"/>
      <c r="BF3" s="82"/>
      <c r="BG3" s="82"/>
      <c r="BH3" s="82">
        <v>11</v>
      </c>
      <c r="BI3" s="82"/>
      <c r="BJ3" s="82"/>
      <c r="BK3" s="82"/>
      <c r="BL3" s="82"/>
      <c r="BM3" s="82">
        <v>12</v>
      </c>
      <c r="BN3" s="82"/>
      <c r="BO3" s="82"/>
      <c r="BP3" s="82"/>
      <c r="BQ3" s="82"/>
      <c r="BR3" s="82" t="s">
        <v>54</v>
      </c>
      <c r="BS3" s="82"/>
      <c r="BT3" s="78"/>
      <c r="BU3" s="78"/>
    </row>
    <row r="4" spans="1:73" x14ac:dyDescent="0.2">
      <c r="A4" s="83"/>
      <c r="B4" s="78"/>
      <c r="C4" s="78"/>
      <c r="D4" s="79" t="s">
        <v>22</v>
      </c>
      <c r="E4" s="79"/>
      <c r="F4" s="79"/>
      <c r="G4" s="79"/>
      <c r="H4" s="79"/>
      <c r="I4" s="79" t="s">
        <v>22</v>
      </c>
      <c r="J4" s="79"/>
      <c r="K4" s="79"/>
      <c r="L4" s="79"/>
      <c r="M4" s="79"/>
      <c r="N4" s="79" t="s">
        <v>22</v>
      </c>
      <c r="O4" s="79"/>
      <c r="P4" s="79"/>
      <c r="Q4" s="79"/>
      <c r="R4" s="79"/>
      <c r="S4" s="79"/>
      <c r="T4" s="79"/>
      <c r="U4" s="80" t="s">
        <v>22</v>
      </c>
      <c r="V4" s="80"/>
      <c r="W4" s="80"/>
      <c r="X4" s="80"/>
      <c r="Y4" s="80"/>
      <c r="Z4" s="80" t="s">
        <v>22</v>
      </c>
      <c r="AA4" s="80"/>
      <c r="AB4" s="80"/>
      <c r="AC4" s="80"/>
      <c r="AD4" s="80"/>
      <c r="AE4" s="80" t="s">
        <v>22</v>
      </c>
      <c r="AF4" s="80"/>
      <c r="AG4" s="80"/>
      <c r="AH4" s="80"/>
      <c r="AI4" s="80"/>
      <c r="AJ4" s="80"/>
      <c r="AK4" s="80"/>
      <c r="AL4" s="81" t="s">
        <v>22</v>
      </c>
      <c r="AM4" s="81"/>
      <c r="AN4" s="81"/>
      <c r="AO4" s="81"/>
      <c r="AP4" s="81"/>
      <c r="AQ4" s="81" t="s">
        <v>22</v>
      </c>
      <c r="AR4" s="81"/>
      <c r="AS4" s="81"/>
      <c r="AT4" s="81"/>
      <c r="AU4" s="81"/>
      <c r="AV4" s="81" t="s">
        <v>22</v>
      </c>
      <c r="AW4" s="81"/>
      <c r="AX4" s="81"/>
      <c r="AY4" s="81"/>
      <c r="AZ4" s="81"/>
      <c r="BA4" s="81"/>
      <c r="BB4" s="81"/>
      <c r="BC4" s="82" t="s">
        <v>22</v>
      </c>
      <c r="BD4" s="82"/>
      <c r="BE4" s="82"/>
      <c r="BF4" s="82"/>
      <c r="BG4" s="82"/>
      <c r="BH4" s="82" t="s">
        <v>22</v>
      </c>
      <c r="BI4" s="82"/>
      <c r="BJ4" s="82"/>
      <c r="BK4" s="82"/>
      <c r="BL4" s="82"/>
      <c r="BM4" s="82" t="s">
        <v>22</v>
      </c>
      <c r="BN4" s="82"/>
      <c r="BO4" s="82"/>
      <c r="BP4" s="82"/>
      <c r="BQ4" s="82"/>
      <c r="BR4" s="82"/>
      <c r="BS4" s="82"/>
      <c r="BT4" s="78"/>
      <c r="BU4" s="78"/>
    </row>
    <row r="5" spans="1:73" ht="24.75" thickBot="1" x14ac:dyDescent="0.25">
      <c r="A5" s="84"/>
      <c r="B5" s="78"/>
      <c r="C5" s="78"/>
      <c r="D5" s="85">
        <v>1</v>
      </c>
      <c r="E5" s="85">
        <v>2</v>
      </c>
      <c r="F5" s="85">
        <v>3</v>
      </c>
      <c r="G5" s="85">
        <v>4</v>
      </c>
      <c r="H5" s="85">
        <v>5</v>
      </c>
      <c r="I5" s="85">
        <v>1</v>
      </c>
      <c r="J5" s="85">
        <v>2</v>
      </c>
      <c r="K5" s="85">
        <v>3</v>
      </c>
      <c r="L5" s="85">
        <v>4</v>
      </c>
      <c r="M5" s="85">
        <v>5</v>
      </c>
      <c r="N5" s="85">
        <v>1</v>
      </c>
      <c r="O5" s="85">
        <v>2</v>
      </c>
      <c r="P5" s="85">
        <v>3</v>
      </c>
      <c r="Q5" s="85">
        <v>4</v>
      </c>
      <c r="R5" s="85">
        <v>5</v>
      </c>
      <c r="S5" s="85" t="s">
        <v>18</v>
      </c>
      <c r="T5" s="85" t="s">
        <v>23</v>
      </c>
      <c r="U5" s="86">
        <v>1</v>
      </c>
      <c r="V5" s="86">
        <v>2</v>
      </c>
      <c r="W5" s="86">
        <v>3</v>
      </c>
      <c r="X5" s="86">
        <v>4</v>
      </c>
      <c r="Y5" s="86">
        <v>5</v>
      </c>
      <c r="Z5" s="86">
        <v>1</v>
      </c>
      <c r="AA5" s="86">
        <v>2</v>
      </c>
      <c r="AB5" s="86">
        <v>3</v>
      </c>
      <c r="AC5" s="86">
        <v>4</v>
      </c>
      <c r="AD5" s="86">
        <v>5</v>
      </c>
      <c r="AE5" s="86">
        <v>1</v>
      </c>
      <c r="AF5" s="86">
        <v>2</v>
      </c>
      <c r="AG5" s="86">
        <v>3</v>
      </c>
      <c r="AH5" s="86">
        <v>4</v>
      </c>
      <c r="AI5" s="86">
        <v>5</v>
      </c>
      <c r="AJ5" s="86" t="s">
        <v>18</v>
      </c>
      <c r="AK5" s="86" t="s">
        <v>23</v>
      </c>
      <c r="AL5" s="87">
        <v>1</v>
      </c>
      <c r="AM5" s="87">
        <v>2</v>
      </c>
      <c r="AN5" s="87">
        <v>3</v>
      </c>
      <c r="AO5" s="87">
        <v>4</v>
      </c>
      <c r="AP5" s="87">
        <v>5</v>
      </c>
      <c r="AQ5" s="87">
        <v>1</v>
      </c>
      <c r="AR5" s="87">
        <v>2</v>
      </c>
      <c r="AS5" s="87">
        <v>3</v>
      </c>
      <c r="AT5" s="87">
        <v>4</v>
      </c>
      <c r="AU5" s="87">
        <v>5</v>
      </c>
      <c r="AV5" s="87">
        <v>1</v>
      </c>
      <c r="AW5" s="87">
        <v>2</v>
      </c>
      <c r="AX5" s="87">
        <v>3</v>
      </c>
      <c r="AY5" s="87">
        <v>4</v>
      </c>
      <c r="AZ5" s="87">
        <v>5</v>
      </c>
      <c r="BA5" s="87" t="s">
        <v>18</v>
      </c>
      <c r="BB5" s="87" t="s">
        <v>23</v>
      </c>
      <c r="BC5" s="88">
        <v>1</v>
      </c>
      <c r="BD5" s="88">
        <v>2</v>
      </c>
      <c r="BE5" s="88">
        <v>3</v>
      </c>
      <c r="BF5" s="88">
        <v>4</v>
      </c>
      <c r="BG5" s="88">
        <v>5</v>
      </c>
      <c r="BH5" s="88">
        <v>1</v>
      </c>
      <c r="BI5" s="88">
        <v>2</v>
      </c>
      <c r="BJ5" s="88">
        <v>3</v>
      </c>
      <c r="BK5" s="88">
        <v>4</v>
      </c>
      <c r="BL5" s="88">
        <v>5</v>
      </c>
      <c r="BM5" s="88">
        <v>1</v>
      </c>
      <c r="BN5" s="88">
        <v>2</v>
      </c>
      <c r="BO5" s="88">
        <v>3</v>
      </c>
      <c r="BP5" s="88">
        <v>4</v>
      </c>
      <c r="BQ5" s="88">
        <v>5</v>
      </c>
      <c r="BR5" s="88" t="s">
        <v>18</v>
      </c>
      <c r="BS5" s="88" t="s">
        <v>23</v>
      </c>
      <c r="BT5" s="89" t="s">
        <v>18</v>
      </c>
      <c r="BU5" s="89" t="s">
        <v>23</v>
      </c>
    </row>
    <row r="6" spans="1:73" ht="12.75" thickBot="1" x14ac:dyDescent="0.25">
      <c r="A6" s="90">
        <v>1</v>
      </c>
      <c r="B6" s="91" t="s">
        <v>24</v>
      </c>
      <c r="C6" s="92">
        <v>58</v>
      </c>
      <c r="D6" s="93">
        <v>8</v>
      </c>
      <c r="E6" s="93">
        <v>3</v>
      </c>
      <c r="F6" s="93">
        <v>1</v>
      </c>
      <c r="G6" s="93">
        <v>6</v>
      </c>
      <c r="H6" s="93">
        <v>37</v>
      </c>
      <c r="I6" s="93"/>
      <c r="J6" s="93">
        <v>1</v>
      </c>
      <c r="K6" s="93"/>
      <c r="L6" s="93"/>
      <c r="M6" s="93"/>
      <c r="N6" s="93"/>
      <c r="O6" s="93"/>
      <c r="P6" s="93"/>
      <c r="Q6" s="93"/>
      <c r="R6" s="93"/>
      <c r="S6" s="85">
        <f>SUM(D6:R6)</f>
        <v>56</v>
      </c>
      <c r="T6" s="94">
        <f>S6/C6*100%</f>
        <v>0.96551724137931039</v>
      </c>
      <c r="U6" s="95">
        <v>1</v>
      </c>
      <c r="V6" s="95"/>
      <c r="W6" s="95"/>
      <c r="X6" s="95"/>
      <c r="Y6" s="95"/>
      <c r="Z6" s="95"/>
      <c r="AA6" s="95"/>
      <c r="AB6" s="95"/>
      <c r="AC6" s="95"/>
      <c r="AD6" s="95">
        <v>1</v>
      </c>
      <c r="AE6" s="95"/>
      <c r="AF6" s="95"/>
      <c r="AG6" s="95"/>
      <c r="AH6" s="95"/>
      <c r="AI6" s="95"/>
      <c r="AJ6" s="86">
        <f>SUM(U6:AI6)</f>
        <v>2</v>
      </c>
      <c r="AK6" s="96">
        <f>AJ6/C6*100%</f>
        <v>3.4482758620689655E-2</v>
      </c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87">
        <f>SUM(AL6:AZ6)</f>
        <v>0</v>
      </c>
      <c r="BB6" s="98">
        <f>BA6/C6*100%</f>
        <v>0</v>
      </c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100"/>
      <c r="BN6" s="100"/>
      <c r="BO6" s="100"/>
      <c r="BP6" s="100"/>
      <c r="BQ6" s="100"/>
      <c r="BR6" s="88">
        <f>SUM(BC6:BQ6)</f>
        <v>0</v>
      </c>
      <c r="BS6" s="101">
        <f>BR6/C6*100%</f>
        <v>0</v>
      </c>
      <c r="BT6" s="89">
        <f>SUM(S6,AJ6,BA6,BR6)</f>
        <v>58</v>
      </c>
      <c r="BU6" s="102">
        <f>BT6/C6*100%</f>
        <v>1</v>
      </c>
    </row>
    <row r="7" spans="1:73" ht="12.75" thickBot="1" x14ac:dyDescent="0.25">
      <c r="A7" s="90">
        <v>2</v>
      </c>
      <c r="B7" s="91" t="s">
        <v>26</v>
      </c>
      <c r="C7" s="92">
        <v>55</v>
      </c>
      <c r="D7" s="93">
        <v>3</v>
      </c>
      <c r="E7" s="93"/>
      <c r="F7" s="93">
        <v>2</v>
      </c>
      <c r="G7" s="93">
        <v>1</v>
      </c>
      <c r="H7" s="93">
        <v>38</v>
      </c>
      <c r="I7" s="93">
        <v>1</v>
      </c>
      <c r="J7" s="93">
        <v>1</v>
      </c>
      <c r="K7" s="93"/>
      <c r="L7" s="93"/>
      <c r="M7" s="93">
        <v>5</v>
      </c>
      <c r="N7" s="93"/>
      <c r="O7" s="93"/>
      <c r="P7" s="93"/>
      <c r="Q7" s="93"/>
      <c r="R7" s="93"/>
      <c r="S7" s="85">
        <f t="shared" ref="S7:S19" si="0">SUM(D7:R7)</f>
        <v>51</v>
      </c>
      <c r="T7" s="94">
        <f t="shared" ref="T7:T19" si="1">S7/C7*100%</f>
        <v>0.92727272727272725</v>
      </c>
      <c r="U7" s="95"/>
      <c r="V7" s="95"/>
      <c r="W7" s="95"/>
      <c r="X7" s="95"/>
      <c r="Y7" s="95"/>
      <c r="Z7" s="95"/>
      <c r="AA7" s="95"/>
      <c r="AB7" s="95"/>
      <c r="AC7" s="95"/>
      <c r="AD7" s="95">
        <v>1</v>
      </c>
      <c r="AE7" s="95">
        <v>1</v>
      </c>
      <c r="AF7" s="95"/>
      <c r="AG7" s="95">
        <v>1</v>
      </c>
      <c r="AH7" s="95"/>
      <c r="AI7" s="95"/>
      <c r="AJ7" s="86">
        <f t="shared" ref="AJ7:AJ19" si="2">SUM(U7:AI7)</f>
        <v>3</v>
      </c>
      <c r="AK7" s="96">
        <f t="shared" ref="AK7:AK19" si="3">AJ7/C7*100%</f>
        <v>5.4545454545454543E-2</v>
      </c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87">
        <f t="shared" ref="BA7:BA19" si="4">SUM(AL7:AZ7)</f>
        <v>0</v>
      </c>
      <c r="BB7" s="98">
        <f t="shared" ref="BB7:BB19" si="5">BA7/C7*100%</f>
        <v>0</v>
      </c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100"/>
      <c r="BN7" s="100"/>
      <c r="BO7" s="100"/>
      <c r="BP7" s="100"/>
      <c r="BQ7" s="100"/>
      <c r="BR7" s="88">
        <f t="shared" ref="BR7:BR19" si="6">SUM(BC7:BQ7)</f>
        <v>0</v>
      </c>
      <c r="BS7" s="101">
        <f t="shared" ref="BS7:BS19" si="7">BR7/C7*100%</f>
        <v>0</v>
      </c>
      <c r="BT7" s="89">
        <f t="shared" ref="BT7:BT19" si="8">SUM(S7,AJ7,BA7,BR7)</f>
        <v>54</v>
      </c>
      <c r="BU7" s="102">
        <f t="shared" ref="BU7:BU19" si="9">BT7/C7*100%</f>
        <v>0.98181818181818181</v>
      </c>
    </row>
    <row r="8" spans="1:73" ht="12.75" thickBot="1" x14ac:dyDescent="0.25">
      <c r="A8" s="90">
        <v>3</v>
      </c>
      <c r="B8" s="91" t="s">
        <v>25</v>
      </c>
      <c r="C8" s="92">
        <v>58</v>
      </c>
      <c r="D8" s="93">
        <v>7</v>
      </c>
      <c r="E8" s="93">
        <v>1</v>
      </c>
      <c r="F8" s="93">
        <v>20</v>
      </c>
      <c r="G8" s="93">
        <v>1</v>
      </c>
      <c r="H8" s="93">
        <v>22</v>
      </c>
      <c r="I8" s="93">
        <v>1</v>
      </c>
      <c r="J8" s="93"/>
      <c r="K8" s="93">
        <v>1</v>
      </c>
      <c r="L8" s="93"/>
      <c r="M8" s="93"/>
      <c r="N8" s="93"/>
      <c r="O8" s="93"/>
      <c r="P8" s="93"/>
      <c r="Q8" s="93"/>
      <c r="R8" s="93"/>
      <c r="S8" s="85">
        <f t="shared" si="0"/>
        <v>53</v>
      </c>
      <c r="T8" s="94">
        <f t="shared" si="1"/>
        <v>0.91379310344827591</v>
      </c>
      <c r="U8" s="95"/>
      <c r="V8" s="95"/>
      <c r="W8" s="95"/>
      <c r="X8" s="95"/>
      <c r="Y8" s="95"/>
      <c r="Z8" s="95"/>
      <c r="AA8" s="95"/>
      <c r="AB8" s="95"/>
      <c r="AC8" s="95"/>
      <c r="AD8" s="95">
        <v>1</v>
      </c>
      <c r="AE8" s="95">
        <v>2</v>
      </c>
      <c r="AF8" s="95"/>
      <c r="AG8" s="95"/>
      <c r="AH8" s="95"/>
      <c r="AI8" s="95"/>
      <c r="AJ8" s="86">
        <f t="shared" si="2"/>
        <v>3</v>
      </c>
      <c r="AK8" s="96">
        <f t="shared" si="3"/>
        <v>5.1724137931034482E-2</v>
      </c>
      <c r="AL8" s="97">
        <v>1</v>
      </c>
      <c r="AM8" s="97"/>
      <c r="AN8" s="97">
        <v>1</v>
      </c>
      <c r="AO8" s="97"/>
      <c r="AP8" s="97"/>
      <c r="AQ8" s="97"/>
      <c r="AR8" s="97">
        <v>1</v>
      </c>
      <c r="AS8" s="97"/>
      <c r="AT8" s="97"/>
      <c r="AU8" s="97">
        <v>1</v>
      </c>
      <c r="AV8" s="97"/>
      <c r="AW8" s="97"/>
      <c r="AX8" s="97"/>
      <c r="AY8" s="97"/>
      <c r="AZ8" s="97"/>
      <c r="BA8" s="87">
        <f t="shared" si="4"/>
        <v>4</v>
      </c>
      <c r="BB8" s="98">
        <f t="shared" si="5"/>
        <v>6.8965517241379309E-2</v>
      </c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100"/>
      <c r="BN8" s="100"/>
      <c r="BO8" s="100"/>
      <c r="BP8" s="100"/>
      <c r="BQ8" s="100"/>
      <c r="BR8" s="88">
        <f t="shared" si="6"/>
        <v>0</v>
      </c>
      <c r="BS8" s="101">
        <f t="shared" si="7"/>
        <v>0</v>
      </c>
      <c r="BT8" s="89">
        <f t="shared" si="8"/>
        <v>60</v>
      </c>
      <c r="BU8" s="102">
        <f t="shared" si="9"/>
        <v>1.0344827586206897</v>
      </c>
    </row>
    <row r="9" spans="1:73" ht="14.25" customHeight="1" thickBot="1" x14ac:dyDescent="0.25">
      <c r="A9" s="90">
        <v>4</v>
      </c>
      <c r="B9" s="91" t="s">
        <v>55</v>
      </c>
      <c r="C9" s="92">
        <v>16</v>
      </c>
      <c r="D9" s="93"/>
      <c r="E9" s="93">
        <v>1</v>
      </c>
      <c r="F9" s="93"/>
      <c r="G9" s="93">
        <v>4</v>
      </c>
      <c r="H9" s="93">
        <v>6</v>
      </c>
      <c r="I9" s="93"/>
      <c r="J9" s="93"/>
      <c r="K9" s="93"/>
      <c r="L9" s="93">
        <v>1</v>
      </c>
      <c r="M9" s="93"/>
      <c r="N9" s="93"/>
      <c r="O9" s="93"/>
      <c r="P9" s="93"/>
      <c r="Q9" s="93"/>
      <c r="R9" s="93"/>
      <c r="S9" s="85">
        <f t="shared" si="0"/>
        <v>12</v>
      </c>
      <c r="T9" s="94">
        <f t="shared" si="1"/>
        <v>0.75</v>
      </c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86">
        <f t="shared" si="2"/>
        <v>0</v>
      </c>
      <c r="AK9" s="96">
        <f t="shared" si="3"/>
        <v>0</v>
      </c>
      <c r="AL9" s="97">
        <v>1</v>
      </c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87">
        <f t="shared" si="4"/>
        <v>1</v>
      </c>
      <c r="BB9" s="98">
        <f t="shared" si="5"/>
        <v>6.25E-2</v>
      </c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100"/>
      <c r="BN9" s="100"/>
      <c r="BO9" s="100"/>
      <c r="BP9" s="100"/>
      <c r="BQ9" s="100"/>
      <c r="BR9" s="88">
        <f t="shared" si="6"/>
        <v>0</v>
      </c>
      <c r="BS9" s="101">
        <f t="shared" si="7"/>
        <v>0</v>
      </c>
      <c r="BT9" s="89">
        <f t="shared" si="8"/>
        <v>13</v>
      </c>
      <c r="BU9" s="102">
        <f t="shared" si="9"/>
        <v>0.8125</v>
      </c>
    </row>
    <row r="10" spans="1:73" ht="12.75" thickBot="1" x14ac:dyDescent="0.25">
      <c r="A10" s="90">
        <v>5</v>
      </c>
      <c r="B10" s="91" t="s">
        <v>56</v>
      </c>
      <c r="C10" s="92">
        <v>69</v>
      </c>
      <c r="D10" s="93">
        <v>7</v>
      </c>
      <c r="E10" s="93"/>
      <c r="F10" s="93"/>
      <c r="G10" s="93">
        <v>1</v>
      </c>
      <c r="H10" s="93">
        <v>42</v>
      </c>
      <c r="I10" s="93"/>
      <c r="J10" s="93">
        <v>1</v>
      </c>
      <c r="K10" s="93"/>
      <c r="L10" s="93"/>
      <c r="M10" s="93">
        <v>2</v>
      </c>
      <c r="N10" s="93"/>
      <c r="O10" s="93">
        <v>1</v>
      </c>
      <c r="P10" s="93"/>
      <c r="Q10" s="93"/>
      <c r="R10" s="93">
        <v>1</v>
      </c>
      <c r="S10" s="85">
        <f t="shared" si="0"/>
        <v>55</v>
      </c>
      <c r="T10" s="94">
        <f t="shared" si="1"/>
        <v>0.79710144927536231</v>
      </c>
      <c r="U10" s="95">
        <v>2</v>
      </c>
      <c r="V10" s="95"/>
      <c r="W10" s="95"/>
      <c r="X10" s="95"/>
      <c r="Y10" s="95">
        <v>2</v>
      </c>
      <c r="Z10" s="95"/>
      <c r="AA10" s="95"/>
      <c r="AB10" s="95"/>
      <c r="AC10" s="95">
        <v>1</v>
      </c>
      <c r="AD10" s="95"/>
      <c r="AE10" s="95">
        <v>2</v>
      </c>
      <c r="AF10" s="95"/>
      <c r="AG10" s="95"/>
      <c r="AH10" s="95"/>
      <c r="AI10" s="95">
        <v>1</v>
      </c>
      <c r="AJ10" s="86">
        <f t="shared" si="2"/>
        <v>8</v>
      </c>
      <c r="AK10" s="96">
        <f t="shared" si="3"/>
        <v>0.11594202898550725</v>
      </c>
      <c r="AL10" s="97">
        <v>2</v>
      </c>
      <c r="AM10" s="97"/>
      <c r="AN10" s="97"/>
      <c r="AO10" s="97">
        <v>1</v>
      </c>
      <c r="AP10" s="97"/>
      <c r="AQ10" s="97"/>
      <c r="AR10" s="97"/>
      <c r="AS10" s="97"/>
      <c r="AT10" s="97"/>
      <c r="AU10" s="97">
        <v>1</v>
      </c>
      <c r="AV10" s="97"/>
      <c r="AW10" s="97"/>
      <c r="AX10" s="97"/>
      <c r="AY10" s="97"/>
      <c r="AZ10" s="97">
        <v>1</v>
      </c>
      <c r="BA10" s="87">
        <f t="shared" si="4"/>
        <v>5</v>
      </c>
      <c r="BB10" s="98">
        <f t="shared" si="5"/>
        <v>7.2463768115942032E-2</v>
      </c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100"/>
      <c r="BN10" s="100"/>
      <c r="BO10" s="100"/>
      <c r="BP10" s="100"/>
      <c r="BQ10" s="100"/>
      <c r="BR10" s="88">
        <f t="shared" si="6"/>
        <v>0</v>
      </c>
      <c r="BS10" s="101">
        <f t="shared" si="7"/>
        <v>0</v>
      </c>
      <c r="BT10" s="89">
        <f t="shared" si="8"/>
        <v>68</v>
      </c>
      <c r="BU10" s="102">
        <f t="shared" si="9"/>
        <v>0.98550724637681164</v>
      </c>
    </row>
    <row r="11" spans="1:73" ht="12.75" thickBot="1" x14ac:dyDescent="0.25">
      <c r="A11" s="90">
        <v>6</v>
      </c>
      <c r="B11" s="91" t="s">
        <v>57</v>
      </c>
      <c r="C11" s="92">
        <v>47</v>
      </c>
      <c r="D11" s="93">
        <v>5</v>
      </c>
      <c r="E11" s="93">
        <v>2</v>
      </c>
      <c r="F11" s="93">
        <v>0</v>
      </c>
      <c r="G11" s="93">
        <v>1</v>
      </c>
      <c r="H11" s="93">
        <v>31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85">
        <f t="shared" si="0"/>
        <v>39</v>
      </c>
      <c r="T11" s="94">
        <f t="shared" si="1"/>
        <v>0.82978723404255317</v>
      </c>
      <c r="U11" s="95"/>
      <c r="V11" s="95"/>
      <c r="W11" s="95"/>
      <c r="X11" s="95"/>
      <c r="Y11" s="95">
        <v>1</v>
      </c>
      <c r="Z11" s="95"/>
      <c r="AA11" s="95"/>
      <c r="AB11" s="95"/>
      <c r="AC11" s="95"/>
      <c r="AD11" s="95"/>
      <c r="AE11" s="95"/>
      <c r="AF11" s="95"/>
      <c r="AG11" s="95"/>
      <c r="AH11" s="95"/>
      <c r="AI11" s="95">
        <v>1</v>
      </c>
      <c r="AJ11" s="86">
        <f t="shared" si="2"/>
        <v>2</v>
      </c>
      <c r="AK11" s="96">
        <f t="shared" si="3"/>
        <v>4.2553191489361701E-2</v>
      </c>
      <c r="AL11" s="97">
        <v>3</v>
      </c>
      <c r="AM11" s="97"/>
      <c r="AN11" s="97"/>
      <c r="AO11" s="97"/>
      <c r="AP11" s="97">
        <v>2</v>
      </c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87">
        <f t="shared" si="4"/>
        <v>5</v>
      </c>
      <c r="BB11" s="98">
        <f t="shared" si="5"/>
        <v>0.10638297872340426</v>
      </c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100"/>
      <c r="BN11" s="100"/>
      <c r="BO11" s="100"/>
      <c r="BP11" s="100"/>
      <c r="BQ11" s="100"/>
      <c r="BR11" s="88">
        <f t="shared" si="6"/>
        <v>0</v>
      </c>
      <c r="BS11" s="101">
        <f t="shared" si="7"/>
        <v>0</v>
      </c>
      <c r="BT11" s="89">
        <f t="shared" si="8"/>
        <v>46</v>
      </c>
      <c r="BU11" s="102">
        <f t="shared" si="9"/>
        <v>0.97872340425531912</v>
      </c>
    </row>
    <row r="12" spans="1:73" ht="12.75" thickBot="1" x14ac:dyDescent="0.25">
      <c r="A12" s="90">
        <v>7</v>
      </c>
      <c r="B12" s="91" t="s">
        <v>34</v>
      </c>
      <c r="C12" s="92">
        <v>12</v>
      </c>
      <c r="D12" s="93">
        <v>1</v>
      </c>
      <c r="E12" s="93">
        <v>1</v>
      </c>
      <c r="F12" s="93"/>
      <c r="G12" s="93"/>
      <c r="H12" s="93">
        <v>2</v>
      </c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85">
        <f t="shared" si="0"/>
        <v>4</v>
      </c>
      <c r="T12" s="94">
        <f t="shared" si="1"/>
        <v>0.33333333333333331</v>
      </c>
      <c r="U12" s="95"/>
      <c r="V12" s="95"/>
      <c r="W12" s="95"/>
      <c r="X12" s="95"/>
      <c r="Y12" s="95"/>
      <c r="Z12" s="95"/>
      <c r="AA12" s="95"/>
      <c r="AB12" s="95"/>
      <c r="AC12" s="95">
        <v>1</v>
      </c>
      <c r="AD12" s="95"/>
      <c r="AE12" s="95"/>
      <c r="AF12" s="95"/>
      <c r="AG12" s="95"/>
      <c r="AH12" s="95"/>
      <c r="AI12" s="95"/>
      <c r="AJ12" s="86">
        <f t="shared" si="2"/>
        <v>1</v>
      </c>
      <c r="AK12" s="96">
        <f t="shared" si="3"/>
        <v>8.3333333333333329E-2</v>
      </c>
      <c r="AL12" s="97"/>
      <c r="AM12" s="97">
        <v>3</v>
      </c>
      <c r="AN12" s="97"/>
      <c r="AO12" s="97"/>
      <c r="AP12" s="97">
        <v>4</v>
      </c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87">
        <f t="shared" si="4"/>
        <v>7</v>
      </c>
      <c r="BB12" s="98">
        <f t="shared" si="5"/>
        <v>0.58333333333333337</v>
      </c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100"/>
      <c r="BN12" s="100"/>
      <c r="BO12" s="100"/>
      <c r="BP12" s="100"/>
      <c r="BQ12" s="100"/>
      <c r="BR12" s="88">
        <f t="shared" si="6"/>
        <v>0</v>
      </c>
      <c r="BS12" s="101">
        <f t="shared" si="7"/>
        <v>0</v>
      </c>
      <c r="BT12" s="89">
        <f t="shared" si="8"/>
        <v>12</v>
      </c>
      <c r="BU12" s="102">
        <f t="shared" si="9"/>
        <v>1</v>
      </c>
    </row>
    <row r="13" spans="1:73" ht="12.75" thickBot="1" x14ac:dyDescent="0.25">
      <c r="A13" s="90">
        <v>8</v>
      </c>
      <c r="B13" s="91" t="s">
        <v>37</v>
      </c>
      <c r="C13" s="92">
        <v>28</v>
      </c>
      <c r="D13" s="93">
        <v>2</v>
      </c>
      <c r="E13" s="93">
        <v>1</v>
      </c>
      <c r="F13" s="93"/>
      <c r="G13" s="93">
        <v>1</v>
      </c>
      <c r="H13" s="93">
        <v>16</v>
      </c>
      <c r="I13" s="93">
        <v>1</v>
      </c>
      <c r="J13" s="93"/>
      <c r="K13" s="93"/>
      <c r="L13" s="93"/>
      <c r="M13" s="93"/>
      <c r="N13" s="93"/>
      <c r="O13" s="93"/>
      <c r="P13" s="93"/>
      <c r="Q13" s="93"/>
      <c r="R13" s="93">
        <v>1</v>
      </c>
      <c r="S13" s="85">
        <f t="shared" si="0"/>
        <v>22</v>
      </c>
      <c r="T13" s="94">
        <f t="shared" si="1"/>
        <v>0.7857142857142857</v>
      </c>
      <c r="U13" s="95"/>
      <c r="V13" s="95"/>
      <c r="W13" s="95"/>
      <c r="X13" s="95"/>
      <c r="Y13" s="95">
        <v>1</v>
      </c>
      <c r="Z13" s="95"/>
      <c r="AA13" s="95"/>
      <c r="AB13" s="95"/>
      <c r="AC13" s="95">
        <v>1</v>
      </c>
      <c r="AD13" s="95"/>
      <c r="AE13" s="95">
        <v>0</v>
      </c>
      <c r="AF13" s="95"/>
      <c r="AG13" s="95"/>
      <c r="AH13" s="95"/>
      <c r="AI13" s="95"/>
      <c r="AJ13" s="86">
        <f t="shared" si="2"/>
        <v>2</v>
      </c>
      <c r="AK13" s="96">
        <f t="shared" si="3"/>
        <v>7.1428571428571425E-2</v>
      </c>
      <c r="AL13" s="97">
        <v>3</v>
      </c>
      <c r="AM13" s="97"/>
      <c r="AN13" s="97"/>
      <c r="AO13" s="97"/>
      <c r="AP13" s="97">
        <v>2</v>
      </c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87">
        <f t="shared" si="4"/>
        <v>5</v>
      </c>
      <c r="BB13" s="98">
        <f t="shared" si="5"/>
        <v>0.17857142857142858</v>
      </c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100"/>
      <c r="BN13" s="100"/>
      <c r="BO13" s="100"/>
      <c r="BP13" s="100"/>
      <c r="BQ13" s="100"/>
      <c r="BR13" s="88">
        <f t="shared" si="6"/>
        <v>0</v>
      </c>
      <c r="BS13" s="101">
        <f t="shared" si="7"/>
        <v>0</v>
      </c>
      <c r="BT13" s="89">
        <f t="shared" si="8"/>
        <v>29</v>
      </c>
      <c r="BU13" s="102">
        <f t="shared" si="9"/>
        <v>1.0357142857142858</v>
      </c>
    </row>
    <row r="14" spans="1:73" ht="12.75" thickBot="1" x14ac:dyDescent="0.25">
      <c r="A14" s="90">
        <v>9</v>
      </c>
      <c r="B14" s="91" t="s">
        <v>36</v>
      </c>
      <c r="C14" s="92">
        <v>65</v>
      </c>
      <c r="D14" s="93">
        <v>11</v>
      </c>
      <c r="E14" s="93">
        <v>2</v>
      </c>
      <c r="F14" s="93">
        <v>1</v>
      </c>
      <c r="G14" s="93"/>
      <c r="H14" s="93">
        <v>37</v>
      </c>
      <c r="I14" s="93"/>
      <c r="J14" s="93"/>
      <c r="K14" s="93"/>
      <c r="L14" s="93"/>
      <c r="M14" s="93">
        <v>4</v>
      </c>
      <c r="N14" s="93">
        <v>1</v>
      </c>
      <c r="O14" s="93"/>
      <c r="P14" s="93"/>
      <c r="Q14" s="93"/>
      <c r="R14" s="93"/>
      <c r="S14" s="85">
        <f t="shared" si="0"/>
        <v>56</v>
      </c>
      <c r="T14" s="94">
        <f t="shared" si="1"/>
        <v>0.86153846153846159</v>
      </c>
      <c r="U14" s="95">
        <v>1</v>
      </c>
      <c r="V14" s="95"/>
      <c r="W14" s="95"/>
      <c r="X14" s="95"/>
      <c r="Y14" s="95">
        <v>1</v>
      </c>
      <c r="Z14" s="95">
        <v>2</v>
      </c>
      <c r="AA14" s="95"/>
      <c r="AB14" s="95"/>
      <c r="AC14" s="95"/>
      <c r="AD14" s="95"/>
      <c r="AE14" s="95">
        <v>1</v>
      </c>
      <c r="AF14" s="95"/>
      <c r="AG14" s="95"/>
      <c r="AH14" s="95"/>
      <c r="AI14" s="95"/>
      <c r="AJ14" s="86">
        <f t="shared" si="2"/>
        <v>5</v>
      </c>
      <c r="AK14" s="96">
        <f t="shared" si="3"/>
        <v>7.6923076923076927E-2</v>
      </c>
      <c r="AL14" s="97">
        <v>1</v>
      </c>
      <c r="AM14" s="97"/>
      <c r="AN14" s="97"/>
      <c r="AO14" s="97"/>
      <c r="AP14" s="97"/>
      <c r="AQ14" s="97"/>
      <c r="AR14" s="97"/>
      <c r="AS14" s="97">
        <v>1</v>
      </c>
      <c r="AT14" s="97"/>
      <c r="AU14" s="97">
        <v>2</v>
      </c>
      <c r="AV14" s="97"/>
      <c r="AW14" s="97"/>
      <c r="AX14" s="97"/>
      <c r="AY14" s="97"/>
      <c r="AZ14" s="97"/>
      <c r="BA14" s="87">
        <f t="shared" si="4"/>
        <v>4</v>
      </c>
      <c r="BB14" s="98">
        <f t="shared" si="5"/>
        <v>6.1538461538461542E-2</v>
      </c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100"/>
      <c r="BN14" s="100"/>
      <c r="BO14" s="100"/>
      <c r="BP14" s="100"/>
      <c r="BQ14" s="100"/>
      <c r="BR14" s="88">
        <f t="shared" si="6"/>
        <v>0</v>
      </c>
      <c r="BS14" s="101">
        <f t="shared" si="7"/>
        <v>0</v>
      </c>
      <c r="BT14" s="89">
        <f t="shared" si="8"/>
        <v>65</v>
      </c>
      <c r="BU14" s="102">
        <f t="shared" si="9"/>
        <v>1</v>
      </c>
    </row>
    <row r="15" spans="1:73" ht="12.75" thickBot="1" x14ac:dyDescent="0.25">
      <c r="A15" s="90">
        <v>10</v>
      </c>
      <c r="B15" s="91" t="s">
        <v>33</v>
      </c>
      <c r="C15" s="92">
        <v>44</v>
      </c>
      <c r="D15" s="93">
        <v>1</v>
      </c>
      <c r="E15" s="93"/>
      <c r="F15" s="93"/>
      <c r="G15" s="93">
        <v>1</v>
      </c>
      <c r="H15" s="93">
        <v>41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85">
        <f t="shared" si="0"/>
        <v>43</v>
      </c>
      <c r="T15" s="94">
        <f t="shared" si="1"/>
        <v>0.97727272727272729</v>
      </c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>
        <v>1</v>
      </c>
      <c r="AF15" s="95"/>
      <c r="AG15" s="95"/>
      <c r="AH15" s="95"/>
      <c r="AI15" s="95"/>
      <c r="AJ15" s="86">
        <f t="shared" si="2"/>
        <v>1</v>
      </c>
      <c r="AK15" s="96">
        <f t="shared" si="3"/>
        <v>2.2727272727272728E-2</v>
      </c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87">
        <f t="shared" si="4"/>
        <v>0</v>
      </c>
      <c r="BB15" s="98">
        <f t="shared" si="5"/>
        <v>0</v>
      </c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100"/>
      <c r="BN15" s="100"/>
      <c r="BO15" s="100"/>
      <c r="BP15" s="100"/>
      <c r="BQ15" s="100"/>
      <c r="BR15" s="88">
        <f t="shared" si="6"/>
        <v>0</v>
      </c>
      <c r="BS15" s="101">
        <f t="shared" si="7"/>
        <v>0</v>
      </c>
      <c r="BT15" s="89">
        <f t="shared" si="8"/>
        <v>44</v>
      </c>
      <c r="BU15" s="102">
        <f t="shared" si="9"/>
        <v>1</v>
      </c>
    </row>
    <row r="16" spans="1:73" ht="12.75" thickBot="1" x14ac:dyDescent="0.25">
      <c r="A16" s="90">
        <v>11</v>
      </c>
      <c r="B16" s="91" t="s">
        <v>32</v>
      </c>
      <c r="C16" s="92">
        <v>23</v>
      </c>
      <c r="D16" s="93">
        <v>3</v>
      </c>
      <c r="E16" s="93"/>
      <c r="F16" s="93"/>
      <c r="G16" s="93">
        <v>1</v>
      </c>
      <c r="H16" s="93">
        <v>9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85">
        <f t="shared" si="0"/>
        <v>13</v>
      </c>
      <c r="T16" s="94">
        <f t="shared" si="1"/>
        <v>0.56521739130434778</v>
      </c>
      <c r="U16" s="95"/>
      <c r="V16" s="95"/>
      <c r="W16" s="95"/>
      <c r="X16" s="95"/>
      <c r="Y16" s="95"/>
      <c r="Z16" s="95"/>
      <c r="AA16" s="95"/>
      <c r="AB16" s="95"/>
      <c r="AC16" s="95"/>
      <c r="AD16" s="95">
        <v>0</v>
      </c>
      <c r="AE16" s="95">
        <v>0</v>
      </c>
      <c r="AF16" s="95"/>
      <c r="AG16" s="95"/>
      <c r="AH16" s="95"/>
      <c r="AI16" s="95"/>
      <c r="AJ16" s="86">
        <f t="shared" si="2"/>
        <v>0</v>
      </c>
      <c r="AK16" s="96">
        <f t="shared" si="3"/>
        <v>0</v>
      </c>
      <c r="AL16" s="97">
        <v>5</v>
      </c>
      <c r="AM16" s="97"/>
      <c r="AN16" s="97"/>
      <c r="AO16" s="97"/>
      <c r="AP16" s="97">
        <v>3</v>
      </c>
      <c r="AQ16" s="97"/>
      <c r="AR16" s="97"/>
      <c r="AS16" s="97"/>
      <c r="AT16" s="97"/>
      <c r="AU16" s="97">
        <v>1</v>
      </c>
      <c r="AV16" s="97"/>
      <c r="AW16" s="97"/>
      <c r="AX16" s="97"/>
      <c r="AY16" s="97"/>
      <c r="AZ16" s="97"/>
      <c r="BA16" s="87">
        <f t="shared" si="4"/>
        <v>9</v>
      </c>
      <c r="BB16" s="98">
        <f t="shared" si="5"/>
        <v>0.39130434782608697</v>
      </c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100"/>
      <c r="BN16" s="100"/>
      <c r="BO16" s="100"/>
      <c r="BP16" s="100"/>
      <c r="BQ16" s="100"/>
      <c r="BR16" s="88">
        <f t="shared" si="6"/>
        <v>0</v>
      </c>
      <c r="BS16" s="101">
        <f t="shared" si="7"/>
        <v>0</v>
      </c>
      <c r="BT16" s="89">
        <f t="shared" si="8"/>
        <v>22</v>
      </c>
      <c r="BU16" s="102">
        <f t="shared" si="9"/>
        <v>0.95652173913043481</v>
      </c>
    </row>
    <row r="17" spans="1:73" ht="12.75" thickBot="1" x14ac:dyDescent="0.25">
      <c r="A17" s="90">
        <v>12</v>
      </c>
      <c r="B17" s="91" t="s">
        <v>31</v>
      </c>
      <c r="C17" s="92">
        <v>48</v>
      </c>
      <c r="D17" s="93">
        <v>1</v>
      </c>
      <c r="E17" s="93">
        <v>6</v>
      </c>
      <c r="F17" s="93">
        <v>1</v>
      </c>
      <c r="G17" s="93">
        <v>3</v>
      </c>
      <c r="H17" s="93">
        <v>30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85">
        <f t="shared" si="0"/>
        <v>41</v>
      </c>
      <c r="T17" s="94">
        <f t="shared" si="1"/>
        <v>0.85416666666666663</v>
      </c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>
        <v>1</v>
      </c>
      <c r="AF17" s="95"/>
      <c r="AG17" s="95"/>
      <c r="AH17" s="95"/>
      <c r="AI17" s="95"/>
      <c r="AJ17" s="86">
        <f t="shared" si="2"/>
        <v>1</v>
      </c>
      <c r="AK17" s="96">
        <f t="shared" si="3"/>
        <v>2.0833333333333332E-2</v>
      </c>
      <c r="AL17" s="97"/>
      <c r="AM17" s="97"/>
      <c r="AN17" s="97"/>
      <c r="AO17" s="97">
        <v>1</v>
      </c>
      <c r="AP17" s="97">
        <v>3</v>
      </c>
      <c r="AQ17" s="97"/>
      <c r="AR17" s="97"/>
      <c r="AS17" s="97"/>
      <c r="AT17" s="97">
        <v>1</v>
      </c>
      <c r="AU17" s="97">
        <v>1</v>
      </c>
      <c r="AV17" s="97"/>
      <c r="AW17" s="97"/>
      <c r="AX17" s="97"/>
      <c r="AY17" s="97"/>
      <c r="AZ17" s="97"/>
      <c r="BA17" s="87">
        <f t="shared" si="4"/>
        <v>6</v>
      </c>
      <c r="BB17" s="98">
        <f t="shared" si="5"/>
        <v>0.125</v>
      </c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100"/>
      <c r="BN17" s="100"/>
      <c r="BO17" s="100"/>
      <c r="BP17" s="100"/>
      <c r="BQ17" s="100"/>
      <c r="BR17" s="88">
        <f t="shared" si="6"/>
        <v>0</v>
      </c>
      <c r="BS17" s="101">
        <f t="shared" si="7"/>
        <v>0</v>
      </c>
      <c r="BT17" s="89">
        <f t="shared" si="8"/>
        <v>48</v>
      </c>
      <c r="BU17" s="102">
        <f t="shared" si="9"/>
        <v>1</v>
      </c>
    </row>
    <row r="18" spans="1:73" ht="17.25" customHeight="1" thickBot="1" x14ac:dyDescent="0.25">
      <c r="A18" s="90">
        <v>13</v>
      </c>
      <c r="B18" s="91" t="s">
        <v>58</v>
      </c>
      <c r="C18" s="92">
        <v>56</v>
      </c>
      <c r="D18" s="93">
        <v>4</v>
      </c>
      <c r="E18" s="93"/>
      <c r="F18" s="93">
        <v>3</v>
      </c>
      <c r="G18" s="93"/>
      <c r="H18" s="93">
        <v>19</v>
      </c>
      <c r="I18" s="93"/>
      <c r="J18" s="93"/>
      <c r="K18" s="93"/>
      <c r="L18" s="93"/>
      <c r="M18" s="93"/>
      <c r="N18" s="93"/>
      <c r="O18" s="93"/>
      <c r="P18" s="93"/>
      <c r="Q18" s="93"/>
      <c r="R18" s="93">
        <v>1</v>
      </c>
      <c r="S18" s="85">
        <f t="shared" si="0"/>
        <v>27</v>
      </c>
      <c r="T18" s="94">
        <f t="shared" si="1"/>
        <v>0.48214285714285715</v>
      </c>
      <c r="U18" s="95">
        <v>0</v>
      </c>
      <c r="V18" s="95"/>
      <c r="W18" s="95"/>
      <c r="X18" s="95"/>
      <c r="Y18" s="95">
        <v>0</v>
      </c>
      <c r="Z18" s="95"/>
      <c r="AA18" s="95"/>
      <c r="AB18" s="95"/>
      <c r="AC18" s="95"/>
      <c r="AD18" s="95"/>
      <c r="AE18" s="95">
        <v>1</v>
      </c>
      <c r="AF18" s="95"/>
      <c r="AG18" s="95">
        <v>1</v>
      </c>
      <c r="AH18" s="95"/>
      <c r="AI18" s="95"/>
      <c r="AJ18" s="86">
        <f t="shared" si="2"/>
        <v>2</v>
      </c>
      <c r="AK18" s="96">
        <f t="shared" si="3"/>
        <v>3.5714285714285712E-2</v>
      </c>
      <c r="AL18" s="97">
        <v>11</v>
      </c>
      <c r="AM18" s="97"/>
      <c r="AN18" s="97"/>
      <c r="AO18" s="97">
        <v>2</v>
      </c>
      <c r="AP18" s="97">
        <v>12</v>
      </c>
      <c r="AQ18" s="97"/>
      <c r="AR18" s="97" t="s">
        <v>59</v>
      </c>
      <c r="AS18" s="97"/>
      <c r="AT18" s="97">
        <v>2</v>
      </c>
      <c r="AU18" s="97"/>
      <c r="AV18" s="97"/>
      <c r="AW18" s="97"/>
      <c r="AX18" s="97"/>
      <c r="AY18" s="97"/>
      <c r="AZ18" s="97"/>
      <c r="BA18" s="87">
        <f t="shared" si="4"/>
        <v>27</v>
      </c>
      <c r="BB18" s="98">
        <f t="shared" si="5"/>
        <v>0.48214285714285715</v>
      </c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100"/>
      <c r="BN18" s="100"/>
      <c r="BO18" s="100"/>
      <c r="BP18" s="100"/>
      <c r="BQ18" s="100"/>
      <c r="BR18" s="88">
        <f t="shared" si="6"/>
        <v>0</v>
      </c>
      <c r="BS18" s="101">
        <f t="shared" si="7"/>
        <v>0</v>
      </c>
      <c r="BT18" s="89">
        <f t="shared" si="8"/>
        <v>56</v>
      </c>
      <c r="BU18" s="102">
        <f t="shared" si="9"/>
        <v>1</v>
      </c>
    </row>
    <row r="19" spans="1:73" ht="12.75" thickBot="1" x14ac:dyDescent="0.25">
      <c r="A19" s="90">
        <v>14</v>
      </c>
      <c r="B19" s="91" t="s">
        <v>29</v>
      </c>
      <c r="C19" s="92">
        <v>46</v>
      </c>
      <c r="D19" s="93">
        <v>4</v>
      </c>
      <c r="E19" s="93">
        <v>4</v>
      </c>
      <c r="F19" s="93"/>
      <c r="G19" s="93">
        <v>1</v>
      </c>
      <c r="H19" s="93">
        <v>20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85">
        <f t="shared" si="0"/>
        <v>29</v>
      </c>
      <c r="T19" s="94">
        <f t="shared" si="1"/>
        <v>0.63043478260869568</v>
      </c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>
        <v>1</v>
      </c>
      <c r="AH19" s="95"/>
      <c r="AI19" s="95"/>
      <c r="AJ19" s="86">
        <f t="shared" si="2"/>
        <v>1</v>
      </c>
      <c r="AK19" s="96">
        <f t="shared" si="3"/>
        <v>2.1739130434782608E-2</v>
      </c>
      <c r="AL19" s="97">
        <v>6</v>
      </c>
      <c r="AM19" s="97">
        <v>3</v>
      </c>
      <c r="AN19" s="97">
        <v>1</v>
      </c>
      <c r="AO19" s="97">
        <v>2</v>
      </c>
      <c r="AP19" s="97">
        <v>2</v>
      </c>
      <c r="AQ19" s="97"/>
      <c r="AR19" s="97"/>
      <c r="AS19" s="97"/>
      <c r="AT19" s="97"/>
      <c r="AU19" s="97"/>
      <c r="AV19" s="97">
        <v>1</v>
      </c>
      <c r="AW19" s="97"/>
      <c r="AX19" s="97"/>
      <c r="AY19" s="97"/>
      <c r="AZ19" s="97"/>
      <c r="BA19" s="87">
        <f t="shared" si="4"/>
        <v>15</v>
      </c>
      <c r="BB19" s="98">
        <f t="shared" si="5"/>
        <v>0.32608695652173914</v>
      </c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100"/>
      <c r="BN19" s="100"/>
      <c r="BO19" s="100"/>
      <c r="BP19" s="100"/>
      <c r="BQ19" s="100"/>
      <c r="BR19" s="88">
        <f t="shared" si="6"/>
        <v>0</v>
      </c>
      <c r="BS19" s="101">
        <f t="shared" si="7"/>
        <v>0</v>
      </c>
      <c r="BT19" s="89">
        <f t="shared" si="8"/>
        <v>45</v>
      </c>
      <c r="BU19" s="102">
        <f t="shared" si="9"/>
        <v>0.97826086956521741</v>
      </c>
    </row>
    <row r="20" spans="1:73" ht="12.75" thickBot="1" x14ac:dyDescent="0.25">
      <c r="A20" s="103"/>
      <c r="B20" s="104" t="s">
        <v>38</v>
      </c>
      <c r="C20" s="105">
        <f>SUM(C6:C19)</f>
        <v>625</v>
      </c>
      <c r="D20" s="89">
        <f>SUM(D6:D19)</f>
        <v>57</v>
      </c>
      <c r="E20" s="89">
        <f t="shared" ref="E20:BP20" si="10">SUM(E6:E19)</f>
        <v>21</v>
      </c>
      <c r="F20" s="89">
        <f t="shared" si="10"/>
        <v>28</v>
      </c>
      <c r="G20" s="89">
        <f t="shared" si="10"/>
        <v>21</v>
      </c>
      <c r="H20" s="89">
        <f>SUM(H6:H19)</f>
        <v>350</v>
      </c>
      <c r="I20" s="89">
        <f t="shared" si="10"/>
        <v>3</v>
      </c>
      <c r="J20" s="89">
        <f t="shared" si="10"/>
        <v>3</v>
      </c>
      <c r="K20" s="89">
        <f t="shared" si="10"/>
        <v>1</v>
      </c>
      <c r="L20" s="89">
        <f t="shared" si="10"/>
        <v>1</v>
      </c>
      <c r="M20" s="89">
        <f t="shared" si="10"/>
        <v>11</v>
      </c>
      <c r="N20" s="89">
        <f t="shared" si="10"/>
        <v>1</v>
      </c>
      <c r="O20" s="89">
        <f t="shared" si="10"/>
        <v>1</v>
      </c>
      <c r="P20" s="89">
        <f t="shared" si="10"/>
        <v>0</v>
      </c>
      <c r="Q20" s="89">
        <f t="shared" si="10"/>
        <v>0</v>
      </c>
      <c r="R20" s="89">
        <f t="shared" si="10"/>
        <v>3</v>
      </c>
      <c r="S20" s="89">
        <f>SUM(S6:S19)</f>
        <v>501</v>
      </c>
      <c r="T20" s="102">
        <f>SUM(T6:T19)</f>
        <v>10.673292260999602</v>
      </c>
      <c r="U20" s="89">
        <f t="shared" si="10"/>
        <v>4</v>
      </c>
      <c r="V20" s="89">
        <f t="shared" si="10"/>
        <v>0</v>
      </c>
      <c r="W20" s="89">
        <f t="shared" si="10"/>
        <v>0</v>
      </c>
      <c r="X20" s="89">
        <f t="shared" si="10"/>
        <v>0</v>
      </c>
      <c r="Y20" s="89">
        <f t="shared" si="10"/>
        <v>5</v>
      </c>
      <c r="Z20" s="89">
        <f t="shared" si="10"/>
        <v>2</v>
      </c>
      <c r="AA20" s="89">
        <f t="shared" si="10"/>
        <v>0</v>
      </c>
      <c r="AB20" s="89">
        <f t="shared" si="10"/>
        <v>0</v>
      </c>
      <c r="AC20" s="89">
        <f t="shared" si="10"/>
        <v>3</v>
      </c>
      <c r="AD20" s="89">
        <f t="shared" si="10"/>
        <v>3</v>
      </c>
      <c r="AE20" s="89">
        <f t="shared" si="10"/>
        <v>9</v>
      </c>
      <c r="AF20" s="89">
        <f t="shared" si="10"/>
        <v>0</v>
      </c>
      <c r="AG20" s="89">
        <f t="shared" si="10"/>
        <v>3</v>
      </c>
      <c r="AH20" s="89">
        <f t="shared" si="10"/>
        <v>0</v>
      </c>
      <c r="AI20" s="89">
        <f t="shared" si="10"/>
        <v>2</v>
      </c>
      <c r="AJ20" s="106">
        <f t="shared" si="10"/>
        <v>31</v>
      </c>
      <c r="AK20" s="89">
        <f t="shared" si="10"/>
        <v>0.63194657546670363</v>
      </c>
      <c r="AL20" s="89">
        <f t="shared" si="10"/>
        <v>33</v>
      </c>
      <c r="AM20" s="89">
        <f t="shared" si="10"/>
        <v>6</v>
      </c>
      <c r="AN20" s="89">
        <f t="shared" si="10"/>
        <v>2</v>
      </c>
      <c r="AO20" s="89">
        <f t="shared" si="10"/>
        <v>6</v>
      </c>
      <c r="AP20" s="89">
        <f t="shared" si="10"/>
        <v>28</v>
      </c>
      <c r="AQ20" s="89">
        <f t="shared" si="10"/>
        <v>0</v>
      </c>
      <c r="AR20" s="89">
        <f t="shared" si="10"/>
        <v>1</v>
      </c>
      <c r="AS20" s="89">
        <f t="shared" si="10"/>
        <v>1</v>
      </c>
      <c r="AT20" s="89">
        <f t="shared" si="10"/>
        <v>3</v>
      </c>
      <c r="AU20" s="89">
        <f t="shared" si="10"/>
        <v>6</v>
      </c>
      <c r="AV20" s="89">
        <f t="shared" si="10"/>
        <v>1</v>
      </c>
      <c r="AW20" s="89">
        <f t="shared" si="10"/>
        <v>0</v>
      </c>
      <c r="AX20" s="89">
        <f t="shared" si="10"/>
        <v>0</v>
      </c>
      <c r="AY20" s="89">
        <f t="shared" si="10"/>
        <v>0</v>
      </c>
      <c r="AZ20" s="89">
        <f t="shared" si="10"/>
        <v>1</v>
      </c>
      <c r="BA20" s="89">
        <f t="shared" si="10"/>
        <v>88</v>
      </c>
      <c r="BB20" s="89">
        <f t="shared" si="10"/>
        <v>2.4582896490146324</v>
      </c>
      <c r="BC20" s="89">
        <f t="shared" si="10"/>
        <v>0</v>
      </c>
      <c r="BD20" s="89">
        <f t="shared" si="10"/>
        <v>0</v>
      </c>
      <c r="BE20" s="89">
        <f t="shared" si="10"/>
        <v>0</v>
      </c>
      <c r="BF20" s="89">
        <f t="shared" si="10"/>
        <v>0</v>
      </c>
      <c r="BG20" s="89">
        <f t="shared" si="10"/>
        <v>0</v>
      </c>
      <c r="BH20" s="89">
        <f t="shared" si="10"/>
        <v>0</v>
      </c>
      <c r="BI20" s="89">
        <f t="shared" si="10"/>
        <v>0</v>
      </c>
      <c r="BJ20" s="89">
        <f t="shared" si="10"/>
        <v>0</v>
      </c>
      <c r="BK20" s="89">
        <f t="shared" si="10"/>
        <v>0</v>
      </c>
      <c r="BL20" s="89">
        <f t="shared" si="10"/>
        <v>0</v>
      </c>
      <c r="BM20" s="89">
        <f t="shared" si="10"/>
        <v>0</v>
      </c>
      <c r="BN20" s="89">
        <f t="shared" si="10"/>
        <v>0</v>
      </c>
      <c r="BO20" s="89">
        <f t="shared" si="10"/>
        <v>0</v>
      </c>
      <c r="BP20" s="89">
        <f t="shared" si="10"/>
        <v>0</v>
      </c>
      <c r="BQ20" s="89">
        <f t="shared" ref="BQ20" si="11">SUM(BQ6:BQ19)</f>
        <v>0</v>
      </c>
      <c r="BR20" s="91">
        <f>SUM(BR6:BR19)</f>
        <v>0</v>
      </c>
      <c r="BS20" s="107">
        <f>SUM(BS6:BS19)</f>
        <v>0</v>
      </c>
      <c r="BT20" s="89">
        <f>SUM(BT6:BT19)</f>
        <v>620</v>
      </c>
      <c r="BU20" s="108">
        <f>SUM(BU6:BU19)/14</f>
        <v>0.9831091775343529</v>
      </c>
    </row>
    <row r="22" spans="1:73" x14ac:dyDescent="0.2">
      <c r="B22" s="109" t="s">
        <v>60</v>
      </c>
    </row>
    <row r="23" spans="1:73" x14ac:dyDescent="0.2">
      <c r="B23" s="109" t="s">
        <v>61</v>
      </c>
    </row>
    <row r="24" spans="1:73" x14ac:dyDescent="0.2">
      <c r="B24" s="109" t="s">
        <v>62</v>
      </c>
    </row>
    <row r="25" spans="1:73" x14ac:dyDescent="0.2">
      <c r="B25" s="109" t="s">
        <v>63</v>
      </c>
    </row>
    <row r="26" spans="1:73" x14ac:dyDescent="0.2">
      <c r="B26" s="109" t="s">
        <v>64</v>
      </c>
    </row>
  </sheetData>
  <mergeCells count="37">
    <mergeCell ref="BH4:BL4"/>
    <mergeCell ref="BM4:BQ4"/>
    <mergeCell ref="BH3:BL3"/>
    <mergeCell ref="BM3:BQ3"/>
    <mergeCell ref="BR3:BS4"/>
    <mergeCell ref="D4:H4"/>
    <mergeCell ref="I4:M4"/>
    <mergeCell ref="N4:R4"/>
    <mergeCell ref="U4:Y4"/>
    <mergeCell ref="Z4:AD4"/>
    <mergeCell ref="AE4:AI4"/>
    <mergeCell ref="AL4:AP4"/>
    <mergeCell ref="AJ3:AK4"/>
    <mergeCell ref="AL3:AP3"/>
    <mergeCell ref="AQ3:AU3"/>
    <mergeCell ref="AV3:AZ3"/>
    <mergeCell ref="BA3:BB4"/>
    <mergeCell ref="BC3:BG3"/>
    <mergeCell ref="AQ4:AU4"/>
    <mergeCell ref="AV4:AZ4"/>
    <mergeCell ref="BC4:BG4"/>
    <mergeCell ref="I3:M3"/>
    <mergeCell ref="N3:R3"/>
    <mergeCell ref="S3:T4"/>
    <mergeCell ref="U3:Y3"/>
    <mergeCell ref="Z3:AD3"/>
    <mergeCell ref="AE3:AI3"/>
    <mergeCell ref="A1:BU1"/>
    <mergeCell ref="A2:A5"/>
    <mergeCell ref="B2:B5"/>
    <mergeCell ref="C2:C5"/>
    <mergeCell ref="D2:T2"/>
    <mergeCell ref="U2:AK2"/>
    <mergeCell ref="AL2:BB2"/>
    <mergeCell ref="BC2:BS2"/>
    <mergeCell ref="BT2:BU4"/>
    <mergeCell ref="D3:H3"/>
  </mergeCells>
  <pageMargins left="0.31496062992125984" right="0.31496062992125984" top="0.78740157480314965" bottom="0.35433070866141736" header="0.31496062992125984" footer="0.31496062992125984"/>
  <pageSetup paperSize="14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4DC2-8B72-4116-AC73-31F390CD8030}">
  <dimension ref="A1:BU28"/>
  <sheetViews>
    <sheetView zoomScale="70" zoomScaleNormal="70" workbookViewId="0">
      <selection activeCell="C2" sqref="C2:C5"/>
    </sheetView>
  </sheetViews>
  <sheetFormatPr defaultColWidth="9.140625" defaultRowHeight="19.5" x14ac:dyDescent="0.25"/>
  <cols>
    <col min="1" max="1" width="5.28515625" style="65" bestFit="1" customWidth="1"/>
    <col min="2" max="2" width="43.42578125" style="65" bestFit="1" customWidth="1"/>
    <col min="3" max="3" width="20.140625" style="65" bestFit="1" customWidth="1"/>
    <col min="4" max="4" width="6.28515625" style="67" bestFit="1" customWidth="1"/>
    <col min="5" max="5" width="4.5703125" style="67" bestFit="1" customWidth="1"/>
    <col min="6" max="6" width="3" style="67" bestFit="1" customWidth="1"/>
    <col min="7" max="7" width="4.5703125" style="67" bestFit="1" customWidth="1"/>
    <col min="8" max="8" width="6.28515625" style="67" bestFit="1" customWidth="1"/>
    <col min="9" max="12" width="3" style="67" bestFit="1" customWidth="1"/>
    <col min="13" max="13" width="4.5703125" style="67" bestFit="1" customWidth="1"/>
    <col min="14" max="18" width="3" style="67" bestFit="1" customWidth="1"/>
    <col min="19" max="19" width="8.28515625" style="65" bestFit="1" customWidth="1"/>
    <col min="20" max="20" width="11.5703125" style="65" bestFit="1" customWidth="1"/>
    <col min="21" max="35" width="3" style="67" bestFit="1" customWidth="1"/>
    <col min="36" max="36" width="8.28515625" style="65" bestFit="1" customWidth="1"/>
    <col min="37" max="37" width="11.5703125" style="65" bestFit="1" customWidth="1"/>
    <col min="38" max="47" width="3" style="65" bestFit="1" customWidth="1"/>
    <col min="48" max="48" width="4.5703125" style="65" bestFit="1" customWidth="1"/>
    <col min="49" max="51" width="3" style="65" bestFit="1" customWidth="1"/>
    <col min="52" max="52" width="4.5703125" style="65" bestFit="1" customWidth="1"/>
    <col min="53" max="53" width="8.28515625" style="65" bestFit="1" customWidth="1"/>
    <col min="54" max="54" width="11.5703125" style="65" bestFit="1" customWidth="1"/>
    <col min="55" max="59" width="3" style="65" bestFit="1" customWidth="1"/>
    <col min="60" max="60" width="4.5703125" style="65" bestFit="1" customWidth="1"/>
    <col min="61" max="62" width="3" style="65" bestFit="1" customWidth="1"/>
    <col min="63" max="64" width="4.5703125" style="65" bestFit="1" customWidth="1"/>
    <col min="65" max="69" width="3" style="65" bestFit="1" customWidth="1"/>
    <col min="70" max="70" width="8.28515625" style="65" bestFit="1" customWidth="1"/>
    <col min="71" max="71" width="11.5703125" style="65" bestFit="1" customWidth="1"/>
    <col min="72" max="72" width="12" style="2" bestFit="1" customWidth="1"/>
    <col min="73" max="73" width="11.5703125" style="2" bestFit="1" customWidth="1"/>
    <col min="74" max="16384" width="9.140625" style="2"/>
  </cols>
  <sheetData>
    <row r="1" spans="1:73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s="11" customFormat="1" x14ac:dyDescent="0.25">
      <c r="A2" s="3" t="s">
        <v>0</v>
      </c>
      <c r="B2" s="3" t="s">
        <v>1</v>
      </c>
      <c r="C2" s="3" t="s">
        <v>48</v>
      </c>
      <c r="D2" s="4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 t="s">
        <v>4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 t="s">
        <v>5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9" t="s">
        <v>6</v>
      </c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10" t="s">
        <v>7</v>
      </c>
      <c r="BU2" s="10"/>
    </row>
    <row r="3" spans="1:73" s="11" customFormat="1" x14ac:dyDescent="0.25">
      <c r="A3" s="3"/>
      <c r="B3" s="3"/>
      <c r="C3" s="3"/>
      <c r="D3" s="12" t="s">
        <v>8</v>
      </c>
      <c r="E3" s="12"/>
      <c r="F3" s="12"/>
      <c r="G3" s="12"/>
      <c r="H3" s="12"/>
      <c r="I3" s="4" t="s">
        <v>9</v>
      </c>
      <c r="J3" s="5"/>
      <c r="K3" s="5"/>
      <c r="L3" s="5"/>
      <c r="M3" s="5"/>
      <c r="N3" s="4" t="s">
        <v>10</v>
      </c>
      <c r="O3" s="5"/>
      <c r="P3" s="5"/>
      <c r="Q3" s="5"/>
      <c r="R3" s="6"/>
      <c r="S3" s="13" t="s">
        <v>11</v>
      </c>
      <c r="T3" s="14"/>
      <c r="U3" s="7" t="s">
        <v>12</v>
      </c>
      <c r="V3" s="7"/>
      <c r="W3" s="7"/>
      <c r="X3" s="7"/>
      <c r="Y3" s="7"/>
      <c r="Z3" s="15" t="s">
        <v>13</v>
      </c>
      <c r="AA3" s="16"/>
      <c r="AB3" s="16"/>
      <c r="AC3" s="16"/>
      <c r="AD3" s="16"/>
      <c r="AE3" s="15" t="s">
        <v>14</v>
      </c>
      <c r="AF3" s="16"/>
      <c r="AG3" s="16"/>
      <c r="AH3" s="16"/>
      <c r="AI3" s="17"/>
      <c r="AJ3" s="18" t="s">
        <v>11</v>
      </c>
      <c r="AK3" s="19"/>
      <c r="AL3" s="8" t="s">
        <v>15</v>
      </c>
      <c r="AM3" s="8"/>
      <c r="AN3" s="8"/>
      <c r="AO3" s="8"/>
      <c r="AP3" s="8"/>
      <c r="AQ3" s="20" t="s">
        <v>16</v>
      </c>
      <c r="AR3" s="21"/>
      <c r="AS3" s="21"/>
      <c r="AT3" s="21"/>
      <c r="AU3" s="21"/>
      <c r="AV3" s="20" t="s">
        <v>17</v>
      </c>
      <c r="AW3" s="21"/>
      <c r="AX3" s="21"/>
      <c r="AY3" s="21"/>
      <c r="AZ3" s="22"/>
      <c r="BA3" s="23" t="s">
        <v>18</v>
      </c>
      <c r="BB3" s="24"/>
      <c r="BC3" s="9" t="s">
        <v>19</v>
      </c>
      <c r="BD3" s="9"/>
      <c r="BE3" s="9"/>
      <c r="BF3" s="9"/>
      <c r="BG3" s="9"/>
      <c r="BH3" s="25" t="s">
        <v>20</v>
      </c>
      <c r="BI3" s="26"/>
      <c r="BJ3" s="26"/>
      <c r="BK3" s="26"/>
      <c r="BL3" s="26"/>
      <c r="BM3" s="25" t="s">
        <v>21</v>
      </c>
      <c r="BN3" s="26"/>
      <c r="BO3" s="26"/>
      <c r="BP3" s="26"/>
      <c r="BQ3" s="27"/>
      <c r="BR3" s="28" t="s">
        <v>18</v>
      </c>
      <c r="BS3" s="29"/>
      <c r="BT3" s="10"/>
      <c r="BU3" s="10"/>
    </row>
    <row r="4" spans="1:73" s="11" customFormat="1" x14ac:dyDescent="0.25">
      <c r="A4" s="3"/>
      <c r="B4" s="3"/>
      <c r="C4" s="3"/>
      <c r="D4" s="12" t="s">
        <v>22</v>
      </c>
      <c r="E4" s="12"/>
      <c r="F4" s="12"/>
      <c r="G4" s="12"/>
      <c r="H4" s="12"/>
      <c r="I4" s="12" t="s">
        <v>22</v>
      </c>
      <c r="J4" s="12"/>
      <c r="K4" s="12"/>
      <c r="L4" s="12"/>
      <c r="M4" s="12"/>
      <c r="N4" s="12" t="s">
        <v>22</v>
      </c>
      <c r="O4" s="12"/>
      <c r="P4" s="12"/>
      <c r="Q4" s="12"/>
      <c r="R4" s="12"/>
      <c r="S4" s="30"/>
      <c r="T4" s="31"/>
      <c r="U4" s="7" t="s">
        <v>22</v>
      </c>
      <c r="V4" s="7"/>
      <c r="W4" s="7"/>
      <c r="X4" s="7"/>
      <c r="Y4" s="7"/>
      <c r="Z4" s="7" t="s">
        <v>22</v>
      </c>
      <c r="AA4" s="7"/>
      <c r="AB4" s="7"/>
      <c r="AC4" s="7"/>
      <c r="AD4" s="7"/>
      <c r="AE4" s="7" t="s">
        <v>22</v>
      </c>
      <c r="AF4" s="7"/>
      <c r="AG4" s="7"/>
      <c r="AH4" s="7"/>
      <c r="AI4" s="7"/>
      <c r="AJ4" s="32"/>
      <c r="AK4" s="33"/>
      <c r="AL4" s="8" t="s">
        <v>22</v>
      </c>
      <c r="AM4" s="8"/>
      <c r="AN4" s="8"/>
      <c r="AO4" s="8"/>
      <c r="AP4" s="8"/>
      <c r="AQ4" s="8" t="s">
        <v>22</v>
      </c>
      <c r="AR4" s="8"/>
      <c r="AS4" s="8"/>
      <c r="AT4" s="8"/>
      <c r="AU4" s="8"/>
      <c r="AV4" s="8" t="s">
        <v>22</v>
      </c>
      <c r="AW4" s="8"/>
      <c r="AX4" s="8"/>
      <c r="AY4" s="8"/>
      <c r="AZ4" s="8"/>
      <c r="BA4" s="34"/>
      <c r="BB4" s="35"/>
      <c r="BC4" s="9" t="s">
        <v>22</v>
      </c>
      <c r="BD4" s="9"/>
      <c r="BE4" s="9"/>
      <c r="BF4" s="9"/>
      <c r="BG4" s="9"/>
      <c r="BH4" s="9" t="s">
        <v>22</v>
      </c>
      <c r="BI4" s="9"/>
      <c r="BJ4" s="9"/>
      <c r="BK4" s="9"/>
      <c r="BL4" s="9"/>
      <c r="BM4" s="9" t="s">
        <v>22</v>
      </c>
      <c r="BN4" s="9"/>
      <c r="BO4" s="9"/>
      <c r="BP4" s="9"/>
      <c r="BQ4" s="9"/>
      <c r="BR4" s="36"/>
      <c r="BS4" s="37"/>
      <c r="BT4" s="10"/>
      <c r="BU4" s="10"/>
    </row>
    <row r="5" spans="1:73" s="11" customFormat="1" x14ac:dyDescent="0.25">
      <c r="A5" s="3"/>
      <c r="B5" s="3"/>
      <c r="C5" s="3"/>
      <c r="D5" s="38">
        <v>1</v>
      </c>
      <c r="E5" s="38">
        <v>2</v>
      </c>
      <c r="F5" s="38">
        <v>3</v>
      </c>
      <c r="G5" s="38">
        <v>4</v>
      </c>
      <c r="H5" s="38">
        <v>5</v>
      </c>
      <c r="I5" s="38">
        <v>1</v>
      </c>
      <c r="J5" s="38">
        <v>2</v>
      </c>
      <c r="K5" s="38">
        <v>3</v>
      </c>
      <c r="L5" s="38">
        <v>4</v>
      </c>
      <c r="M5" s="38">
        <v>5</v>
      </c>
      <c r="N5" s="38">
        <v>1</v>
      </c>
      <c r="O5" s="38">
        <v>2</v>
      </c>
      <c r="P5" s="38">
        <v>3</v>
      </c>
      <c r="Q5" s="38">
        <v>4</v>
      </c>
      <c r="R5" s="38">
        <v>5</v>
      </c>
      <c r="S5" s="38" t="s">
        <v>18</v>
      </c>
      <c r="T5" s="38" t="s">
        <v>23</v>
      </c>
      <c r="U5" s="39">
        <v>1</v>
      </c>
      <c r="V5" s="39">
        <v>2</v>
      </c>
      <c r="W5" s="39">
        <v>3</v>
      </c>
      <c r="X5" s="39">
        <v>4</v>
      </c>
      <c r="Y5" s="39">
        <v>5</v>
      </c>
      <c r="Z5" s="39">
        <v>1</v>
      </c>
      <c r="AA5" s="39">
        <v>2</v>
      </c>
      <c r="AB5" s="39">
        <v>3</v>
      </c>
      <c r="AC5" s="39">
        <v>4</v>
      </c>
      <c r="AD5" s="39">
        <v>5</v>
      </c>
      <c r="AE5" s="39">
        <v>1</v>
      </c>
      <c r="AF5" s="39">
        <v>2</v>
      </c>
      <c r="AG5" s="39">
        <v>3</v>
      </c>
      <c r="AH5" s="39">
        <v>4</v>
      </c>
      <c r="AI5" s="39">
        <v>5</v>
      </c>
      <c r="AJ5" s="39" t="s">
        <v>18</v>
      </c>
      <c r="AK5" s="39" t="s">
        <v>23</v>
      </c>
      <c r="AL5" s="40">
        <v>1</v>
      </c>
      <c r="AM5" s="40">
        <v>2</v>
      </c>
      <c r="AN5" s="40">
        <v>3</v>
      </c>
      <c r="AO5" s="40">
        <v>4</v>
      </c>
      <c r="AP5" s="40">
        <v>5</v>
      </c>
      <c r="AQ5" s="40">
        <v>1</v>
      </c>
      <c r="AR5" s="40">
        <v>2</v>
      </c>
      <c r="AS5" s="40">
        <v>3</v>
      </c>
      <c r="AT5" s="40">
        <v>4</v>
      </c>
      <c r="AU5" s="40">
        <v>5</v>
      </c>
      <c r="AV5" s="40">
        <v>1</v>
      </c>
      <c r="AW5" s="40">
        <v>2</v>
      </c>
      <c r="AX5" s="40">
        <v>3</v>
      </c>
      <c r="AY5" s="40">
        <v>4</v>
      </c>
      <c r="AZ5" s="40">
        <v>5</v>
      </c>
      <c r="BA5" s="40" t="s">
        <v>18</v>
      </c>
      <c r="BB5" s="40" t="s">
        <v>23</v>
      </c>
      <c r="BC5" s="41">
        <v>1</v>
      </c>
      <c r="BD5" s="41">
        <v>2</v>
      </c>
      <c r="BE5" s="41">
        <v>3</v>
      </c>
      <c r="BF5" s="41">
        <v>4</v>
      </c>
      <c r="BG5" s="41">
        <v>5</v>
      </c>
      <c r="BH5" s="41">
        <v>1</v>
      </c>
      <c r="BI5" s="41">
        <v>2</v>
      </c>
      <c r="BJ5" s="41">
        <v>3</v>
      </c>
      <c r="BK5" s="41">
        <v>4</v>
      </c>
      <c r="BL5" s="41">
        <v>5</v>
      </c>
      <c r="BM5" s="41">
        <v>1</v>
      </c>
      <c r="BN5" s="41">
        <v>2</v>
      </c>
      <c r="BO5" s="41">
        <v>3</v>
      </c>
      <c r="BP5" s="41">
        <v>4</v>
      </c>
      <c r="BQ5" s="41">
        <v>5</v>
      </c>
      <c r="BR5" s="41" t="s">
        <v>18</v>
      </c>
      <c r="BS5" s="41" t="s">
        <v>23</v>
      </c>
      <c r="BT5" s="42" t="s">
        <v>18</v>
      </c>
      <c r="BU5" s="42" t="s">
        <v>23</v>
      </c>
    </row>
    <row r="6" spans="1:73" x14ac:dyDescent="0.25">
      <c r="A6" s="43">
        <v>1</v>
      </c>
      <c r="B6" s="44" t="s">
        <v>24</v>
      </c>
      <c r="C6" s="43">
        <v>59</v>
      </c>
      <c r="D6" s="38"/>
      <c r="E6" s="38">
        <v>3</v>
      </c>
      <c r="F6" s="38"/>
      <c r="G6" s="38">
        <v>5</v>
      </c>
      <c r="H6" s="38">
        <v>35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45">
        <f>SUM(D6:R6)</f>
        <v>43</v>
      </c>
      <c r="T6" s="46">
        <f>S6/C6*100%</f>
        <v>0.72881355932203384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7">
        <f>SUM(U6:AI6)</f>
        <v>0</v>
      </c>
      <c r="AK6" s="48">
        <f>AJ6/C6*100%</f>
        <v>0</v>
      </c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>
        <v>3</v>
      </c>
      <c r="AW6" s="49"/>
      <c r="AX6" s="49"/>
      <c r="AY6" s="49"/>
      <c r="AZ6" s="49">
        <v>1</v>
      </c>
      <c r="BA6" s="49">
        <f>SUM(AL6:AZ6)</f>
        <v>4</v>
      </c>
      <c r="BB6" s="50">
        <f>BA6/C6*100%</f>
        <v>6.7796610169491525E-2</v>
      </c>
      <c r="BC6" s="51"/>
      <c r="BD6" s="51"/>
      <c r="BE6" s="51"/>
      <c r="BF6" s="51"/>
      <c r="BG6" s="51"/>
      <c r="BH6" s="51">
        <v>5</v>
      </c>
      <c r="BI6" s="51"/>
      <c r="BJ6" s="51"/>
      <c r="BK6" s="51">
        <v>2</v>
      </c>
      <c r="BL6" s="51">
        <v>2</v>
      </c>
      <c r="BM6" s="51"/>
      <c r="BN6" s="51"/>
      <c r="BO6" s="51"/>
      <c r="BP6" s="51"/>
      <c r="BQ6" s="51"/>
      <c r="BR6" s="51">
        <f>SUM(BC6:BQ6)</f>
        <v>9</v>
      </c>
      <c r="BS6" s="52">
        <f>BR6/C6*100%</f>
        <v>0.15254237288135594</v>
      </c>
      <c r="BT6" s="43">
        <f>SUM(S6,AJ6,BA6,BR6)</f>
        <v>56</v>
      </c>
      <c r="BU6" s="53">
        <f>BT6/C6*100%</f>
        <v>0.94915254237288138</v>
      </c>
    </row>
    <row r="7" spans="1:73" x14ac:dyDescent="0.25">
      <c r="A7" s="43">
        <v>2</v>
      </c>
      <c r="B7" s="44" t="s">
        <v>25</v>
      </c>
      <c r="C7" s="43">
        <v>71</v>
      </c>
      <c r="D7" s="38">
        <v>5</v>
      </c>
      <c r="E7" s="38">
        <v>2</v>
      </c>
      <c r="F7" s="38">
        <v>2</v>
      </c>
      <c r="G7" s="38">
        <v>3</v>
      </c>
      <c r="H7" s="38">
        <v>33</v>
      </c>
      <c r="I7" s="38"/>
      <c r="J7" s="38"/>
      <c r="K7" s="38">
        <v>1</v>
      </c>
      <c r="L7" s="38"/>
      <c r="M7" s="38">
        <v>1</v>
      </c>
      <c r="N7" s="38"/>
      <c r="O7" s="38"/>
      <c r="P7" s="38"/>
      <c r="Q7" s="38"/>
      <c r="R7" s="38"/>
      <c r="S7" s="45">
        <f t="shared" ref="S7:S19" si="0">SUM(D7:R7)</f>
        <v>47</v>
      </c>
      <c r="T7" s="46">
        <f>S7/C7*100%</f>
        <v>0.6619718309859155</v>
      </c>
      <c r="U7" s="39"/>
      <c r="V7" s="39"/>
      <c r="W7" s="39"/>
      <c r="X7" s="39"/>
      <c r="Y7" s="39"/>
      <c r="Z7" s="39">
        <v>1</v>
      </c>
      <c r="AA7" s="39"/>
      <c r="AB7" s="39"/>
      <c r="AC7" s="39"/>
      <c r="AD7" s="39"/>
      <c r="AE7" s="39"/>
      <c r="AF7" s="39"/>
      <c r="AG7" s="39"/>
      <c r="AH7" s="39"/>
      <c r="AI7" s="39"/>
      <c r="AJ7" s="47">
        <f t="shared" ref="AJ7:AJ19" si="1">SUM(U7:AI7)</f>
        <v>1</v>
      </c>
      <c r="AK7" s="48">
        <f t="shared" ref="AK7:AK18" si="2">AJ7/C7*100%</f>
        <v>1.4084507042253521E-2</v>
      </c>
      <c r="AL7" s="49"/>
      <c r="AM7" s="49"/>
      <c r="AN7" s="49"/>
      <c r="AO7" s="49"/>
      <c r="AP7" s="49"/>
      <c r="AQ7" s="49"/>
      <c r="AR7" s="49"/>
      <c r="AS7" s="49"/>
      <c r="AT7" s="49">
        <v>1</v>
      </c>
      <c r="AU7" s="49"/>
      <c r="AV7" s="49"/>
      <c r="AW7" s="49"/>
      <c r="AX7" s="49"/>
      <c r="AY7" s="49"/>
      <c r="AZ7" s="49"/>
      <c r="BA7" s="49">
        <f t="shared" ref="BA7:BA19" si="3">SUM(AL7:AZ7)</f>
        <v>1</v>
      </c>
      <c r="BB7" s="50">
        <f t="shared" ref="BB7:BB19" si="4">BA7/C7*100%</f>
        <v>1.4084507042253521E-2</v>
      </c>
      <c r="BC7" s="51">
        <v>2</v>
      </c>
      <c r="BD7" s="51"/>
      <c r="BE7" s="51"/>
      <c r="BF7" s="51"/>
      <c r="BG7" s="51">
        <v>2</v>
      </c>
      <c r="BH7" s="51">
        <v>5</v>
      </c>
      <c r="BI7" s="51"/>
      <c r="BJ7" s="51"/>
      <c r="BK7" s="51">
        <v>1</v>
      </c>
      <c r="BL7" s="51">
        <v>2</v>
      </c>
      <c r="BM7" s="51"/>
      <c r="BN7" s="51"/>
      <c r="BO7" s="51"/>
      <c r="BP7" s="51"/>
      <c r="BQ7" s="51"/>
      <c r="BR7" s="51">
        <f t="shared" ref="BR7:BR19" si="5">SUM(BC7:BQ7)</f>
        <v>12</v>
      </c>
      <c r="BS7" s="52">
        <f t="shared" ref="BS7:BS19" si="6">BR7/C7*100%</f>
        <v>0.16901408450704225</v>
      </c>
      <c r="BT7" s="43">
        <f t="shared" ref="BT7:BT19" si="7">SUM(S7,AJ7,BA7,BR7)</f>
        <v>61</v>
      </c>
      <c r="BU7" s="53">
        <f t="shared" ref="BU7:BU19" si="8">BT7/C7*100%</f>
        <v>0.85915492957746475</v>
      </c>
    </row>
    <row r="8" spans="1:73" x14ac:dyDescent="0.25">
      <c r="A8" s="43">
        <v>3</v>
      </c>
      <c r="B8" s="44" t="s">
        <v>26</v>
      </c>
      <c r="C8" s="43">
        <v>56</v>
      </c>
      <c r="D8" s="38">
        <v>6</v>
      </c>
      <c r="E8" s="38">
        <v>3</v>
      </c>
      <c r="F8" s="38">
        <v>1</v>
      </c>
      <c r="G8" s="38">
        <v>3</v>
      </c>
      <c r="H8" s="38">
        <v>22</v>
      </c>
      <c r="I8" s="38"/>
      <c r="J8" s="38">
        <v>1</v>
      </c>
      <c r="K8" s="38"/>
      <c r="L8" s="38"/>
      <c r="M8" s="38">
        <v>3</v>
      </c>
      <c r="N8" s="38"/>
      <c r="O8" s="38"/>
      <c r="P8" s="38"/>
      <c r="Q8" s="38"/>
      <c r="R8" s="38"/>
      <c r="S8" s="45">
        <f t="shared" si="0"/>
        <v>39</v>
      </c>
      <c r="T8" s="46">
        <f t="shared" ref="T8:T9" si="9">S8/C8*100%</f>
        <v>0.6964285714285714</v>
      </c>
      <c r="U8" s="39"/>
      <c r="V8" s="39"/>
      <c r="W8" s="39"/>
      <c r="X8" s="39"/>
      <c r="Y8" s="39">
        <v>1</v>
      </c>
      <c r="Z8" s="39">
        <v>1</v>
      </c>
      <c r="AA8" s="39"/>
      <c r="AB8" s="39"/>
      <c r="AC8" s="39"/>
      <c r="AD8" s="39">
        <v>1</v>
      </c>
      <c r="AE8" s="39"/>
      <c r="AF8" s="39"/>
      <c r="AG8" s="39"/>
      <c r="AH8" s="39"/>
      <c r="AI8" s="39"/>
      <c r="AJ8" s="47">
        <f t="shared" si="1"/>
        <v>3</v>
      </c>
      <c r="AK8" s="48">
        <f t="shared" si="2"/>
        <v>5.3571428571428568E-2</v>
      </c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>
        <v>1</v>
      </c>
      <c r="AW8" s="49"/>
      <c r="AX8" s="49"/>
      <c r="AY8" s="49">
        <v>1</v>
      </c>
      <c r="AZ8" s="49">
        <v>2</v>
      </c>
      <c r="BA8" s="49">
        <f t="shared" si="3"/>
        <v>4</v>
      </c>
      <c r="BB8" s="50">
        <f t="shared" si="4"/>
        <v>7.1428571428571425E-2</v>
      </c>
      <c r="BC8" s="51"/>
      <c r="BD8" s="51"/>
      <c r="BE8" s="51"/>
      <c r="BF8" s="51"/>
      <c r="BG8" s="51">
        <v>2</v>
      </c>
      <c r="BH8" s="51"/>
      <c r="BI8" s="51"/>
      <c r="BJ8" s="51"/>
      <c r="BK8" s="51"/>
      <c r="BL8" s="51"/>
      <c r="BM8" s="51"/>
      <c r="BN8" s="51"/>
      <c r="BO8" s="51"/>
      <c r="BP8" s="51">
        <v>1</v>
      </c>
      <c r="BQ8" s="51"/>
      <c r="BR8" s="51">
        <f t="shared" si="5"/>
        <v>3</v>
      </c>
      <c r="BS8" s="52">
        <f t="shared" si="6"/>
        <v>5.3571428571428568E-2</v>
      </c>
      <c r="BT8" s="43">
        <f t="shared" si="7"/>
        <v>49</v>
      </c>
      <c r="BU8" s="53">
        <f t="shared" si="8"/>
        <v>0.875</v>
      </c>
    </row>
    <row r="9" spans="1:73" x14ac:dyDescent="0.25">
      <c r="A9" s="43">
        <v>4</v>
      </c>
      <c r="B9" s="44" t="s">
        <v>27</v>
      </c>
      <c r="C9" s="43">
        <v>72</v>
      </c>
      <c r="D9" s="38">
        <v>3</v>
      </c>
      <c r="E9" s="38">
        <v>1</v>
      </c>
      <c r="F9" s="38"/>
      <c r="G9" s="38">
        <v>4</v>
      </c>
      <c r="H9" s="38">
        <v>28</v>
      </c>
      <c r="I9" s="38"/>
      <c r="J9" s="38"/>
      <c r="K9" s="38">
        <v>1</v>
      </c>
      <c r="L9" s="38"/>
      <c r="M9" s="38"/>
      <c r="N9" s="38">
        <v>1</v>
      </c>
      <c r="O9" s="38"/>
      <c r="P9" s="38"/>
      <c r="Q9" s="38"/>
      <c r="R9" s="38"/>
      <c r="S9" s="45">
        <f t="shared" si="0"/>
        <v>38</v>
      </c>
      <c r="T9" s="46">
        <f t="shared" si="9"/>
        <v>0.52777777777777779</v>
      </c>
      <c r="U9" s="39"/>
      <c r="V9" s="39"/>
      <c r="W9" s="39"/>
      <c r="X9" s="39"/>
      <c r="Y9" s="39"/>
      <c r="Z9" s="39">
        <v>1</v>
      </c>
      <c r="AA9" s="39"/>
      <c r="AB9" s="39"/>
      <c r="AC9" s="39"/>
      <c r="AD9" s="39">
        <v>1</v>
      </c>
      <c r="AE9" s="39"/>
      <c r="AF9" s="39"/>
      <c r="AG9" s="39"/>
      <c r="AH9" s="39"/>
      <c r="AI9" s="39"/>
      <c r="AJ9" s="47">
        <f t="shared" si="1"/>
        <v>2</v>
      </c>
      <c r="AK9" s="48">
        <f t="shared" si="2"/>
        <v>2.7777777777777776E-2</v>
      </c>
      <c r="AL9" s="49">
        <v>1</v>
      </c>
      <c r="AM9" s="49"/>
      <c r="AN9" s="49"/>
      <c r="AO9" s="49"/>
      <c r="AP9" s="49">
        <v>2</v>
      </c>
      <c r="AQ9" s="49"/>
      <c r="AR9" s="49"/>
      <c r="AS9" s="49"/>
      <c r="AT9" s="49"/>
      <c r="AU9" s="49"/>
      <c r="AV9" s="49"/>
      <c r="AW9" s="49"/>
      <c r="AX9" s="49">
        <v>1</v>
      </c>
      <c r="AY9" s="49">
        <v>1</v>
      </c>
      <c r="AZ9" s="49">
        <v>3</v>
      </c>
      <c r="BA9" s="49">
        <f t="shared" si="3"/>
        <v>8</v>
      </c>
      <c r="BB9" s="50">
        <f t="shared" si="4"/>
        <v>0.1111111111111111</v>
      </c>
      <c r="BC9" s="51"/>
      <c r="BD9" s="51"/>
      <c r="BE9" s="51">
        <v>1</v>
      </c>
      <c r="BF9" s="51"/>
      <c r="BG9" s="51"/>
      <c r="BH9" s="51">
        <v>6</v>
      </c>
      <c r="BI9" s="51"/>
      <c r="BJ9" s="51">
        <v>1</v>
      </c>
      <c r="BK9" s="51">
        <v>1</v>
      </c>
      <c r="BL9" s="51">
        <v>3</v>
      </c>
      <c r="BM9" s="51"/>
      <c r="BN9" s="51"/>
      <c r="BO9" s="51"/>
      <c r="BP9" s="51"/>
      <c r="BQ9" s="51"/>
      <c r="BR9" s="51">
        <f t="shared" si="5"/>
        <v>12</v>
      </c>
      <c r="BS9" s="52">
        <f t="shared" si="6"/>
        <v>0.16666666666666666</v>
      </c>
      <c r="BT9" s="43">
        <f t="shared" si="7"/>
        <v>60</v>
      </c>
      <c r="BU9" s="53">
        <f t="shared" si="8"/>
        <v>0.83333333333333337</v>
      </c>
    </row>
    <row r="10" spans="1:73" x14ac:dyDescent="0.25">
      <c r="A10" s="43">
        <v>5</v>
      </c>
      <c r="B10" s="44" t="s">
        <v>28</v>
      </c>
      <c r="C10" s="43">
        <v>27</v>
      </c>
      <c r="D10" s="38"/>
      <c r="E10" s="38">
        <v>1</v>
      </c>
      <c r="F10" s="38"/>
      <c r="G10" s="38">
        <v>1</v>
      </c>
      <c r="H10" s="38">
        <v>6</v>
      </c>
      <c r="I10" s="38"/>
      <c r="J10" s="38"/>
      <c r="K10" s="38"/>
      <c r="L10" s="38">
        <v>3</v>
      </c>
      <c r="M10" s="38"/>
      <c r="N10" s="38"/>
      <c r="O10" s="38"/>
      <c r="P10" s="38"/>
      <c r="Q10" s="38"/>
      <c r="R10" s="38"/>
      <c r="S10" s="45">
        <f t="shared" si="0"/>
        <v>11</v>
      </c>
      <c r="T10" s="46">
        <f>S10/C10*100%</f>
        <v>0.40740740740740738</v>
      </c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47">
        <f t="shared" si="1"/>
        <v>0</v>
      </c>
      <c r="AK10" s="48">
        <f t="shared" si="2"/>
        <v>0</v>
      </c>
      <c r="AL10" s="49">
        <v>1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>
        <v>2</v>
      </c>
      <c r="AZ10" s="49">
        <v>2</v>
      </c>
      <c r="BA10" s="49">
        <f t="shared" si="3"/>
        <v>5</v>
      </c>
      <c r="BB10" s="50">
        <f t="shared" si="4"/>
        <v>0.18518518518518517</v>
      </c>
      <c r="BC10" s="51">
        <v>1</v>
      </c>
      <c r="BD10" s="51"/>
      <c r="BE10" s="51"/>
      <c r="BF10" s="51"/>
      <c r="BG10" s="51"/>
      <c r="BH10" s="51">
        <v>3</v>
      </c>
      <c r="BI10" s="51"/>
      <c r="BJ10" s="51"/>
      <c r="BK10" s="51">
        <v>3</v>
      </c>
      <c r="BL10" s="51">
        <v>1</v>
      </c>
      <c r="BM10" s="51"/>
      <c r="BN10" s="51"/>
      <c r="BO10" s="51"/>
      <c r="BP10" s="51"/>
      <c r="BQ10" s="51"/>
      <c r="BR10" s="51">
        <f t="shared" si="5"/>
        <v>8</v>
      </c>
      <c r="BS10" s="52">
        <f t="shared" si="6"/>
        <v>0.29629629629629628</v>
      </c>
      <c r="BT10" s="43">
        <f t="shared" si="7"/>
        <v>24</v>
      </c>
      <c r="BU10" s="53">
        <f t="shared" si="8"/>
        <v>0.88888888888888884</v>
      </c>
    </row>
    <row r="11" spans="1:73" s="11" customFormat="1" x14ac:dyDescent="0.25">
      <c r="A11" s="42">
        <v>6</v>
      </c>
      <c r="B11" s="54" t="s">
        <v>29</v>
      </c>
      <c r="C11" s="42">
        <v>48</v>
      </c>
      <c r="D11" s="38">
        <v>6</v>
      </c>
      <c r="E11" s="38">
        <v>1</v>
      </c>
      <c r="F11" s="38">
        <v>1</v>
      </c>
      <c r="G11" s="38">
        <v>1</v>
      </c>
      <c r="H11" s="38">
        <v>32</v>
      </c>
      <c r="I11" s="38"/>
      <c r="J11" s="38"/>
      <c r="K11" s="38"/>
      <c r="L11" s="38"/>
      <c r="M11" s="38">
        <v>1</v>
      </c>
      <c r="N11" s="38"/>
      <c r="O11" s="38"/>
      <c r="P11" s="38"/>
      <c r="Q11" s="38"/>
      <c r="R11" s="38">
        <v>2</v>
      </c>
      <c r="S11" s="38">
        <f t="shared" si="0"/>
        <v>44</v>
      </c>
      <c r="T11" s="55">
        <f t="shared" ref="T11:T19" si="10">S11/C11*100%</f>
        <v>0.91666666666666663</v>
      </c>
      <c r="U11" s="39"/>
      <c r="V11" s="39"/>
      <c r="W11" s="39"/>
      <c r="X11" s="39"/>
      <c r="Y11" s="39"/>
      <c r="Z11" s="39"/>
      <c r="AA11" s="39"/>
      <c r="AB11" s="39">
        <v>1</v>
      </c>
      <c r="AC11" s="39"/>
      <c r="AD11" s="39"/>
      <c r="AE11" s="39"/>
      <c r="AF11" s="39"/>
      <c r="AG11" s="39"/>
      <c r="AH11" s="39"/>
      <c r="AI11" s="39"/>
      <c r="AJ11" s="39">
        <f t="shared" si="1"/>
        <v>1</v>
      </c>
      <c r="AK11" s="56">
        <f t="shared" si="2"/>
        <v>2.0833333333333332E-2</v>
      </c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>
        <v>1</v>
      </c>
      <c r="AZ11" s="49"/>
      <c r="BA11" s="40">
        <f t="shared" si="3"/>
        <v>1</v>
      </c>
      <c r="BB11" s="57">
        <f t="shared" si="4"/>
        <v>2.0833333333333332E-2</v>
      </c>
      <c r="BC11" s="41">
        <v>1</v>
      </c>
      <c r="BD11" s="51"/>
      <c r="BE11" s="51">
        <v>1</v>
      </c>
      <c r="BF11" s="51"/>
      <c r="BG11" s="41"/>
      <c r="BH11" s="41"/>
      <c r="BI11" s="41"/>
      <c r="BJ11" s="51"/>
      <c r="BK11" s="51"/>
      <c r="BL11" s="41"/>
      <c r="BM11" s="51"/>
      <c r="BN11" s="51"/>
      <c r="BO11" s="51"/>
      <c r="BP11" s="51"/>
      <c r="BQ11" s="51"/>
      <c r="BR11" s="41">
        <f t="shared" si="5"/>
        <v>2</v>
      </c>
      <c r="BS11" s="58">
        <f t="shared" si="6"/>
        <v>4.1666666666666664E-2</v>
      </c>
      <c r="BT11" s="42">
        <f t="shared" si="7"/>
        <v>48</v>
      </c>
      <c r="BU11" s="59">
        <f t="shared" si="8"/>
        <v>1</v>
      </c>
    </row>
    <row r="12" spans="1:73" x14ac:dyDescent="0.25">
      <c r="A12" s="43">
        <v>7</v>
      </c>
      <c r="B12" s="44" t="s">
        <v>30</v>
      </c>
      <c r="C12" s="43">
        <v>38</v>
      </c>
      <c r="D12" s="38"/>
      <c r="E12" s="38">
        <v>1</v>
      </c>
      <c r="F12" s="38"/>
      <c r="G12" s="38"/>
      <c r="H12" s="38">
        <v>6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45">
        <f t="shared" si="0"/>
        <v>7</v>
      </c>
      <c r="T12" s="46">
        <f t="shared" si="10"/>
        <v>0.18421052631578946</v>
      </c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7">
        <f t="shared" si="1"/>
        <v>0</v>
      </c>
      <c r="AK12" s="48">
        <f t="shared" si="2"/>
        <v>0</v>
      </c>
      <c r="AL12" s="49"/>
      <c r="AM12" s="49"/>
      <c r="AN12" s="49"/>
      <c r="AO12" s="49"/>
      <c r="AP12" s="49"/>
      <c r="AQ12" s="49">
        <v>1</v>
      </c>
      <c r="AR12" s="49"/>
      <c r="AS12" s="49"/>
      <c r="AT12" s="49"/>
      <c r="AU12" s="49">
        <v>2</v>
      </c>
      <c r="AV12" s="49">
        <v>1</v>
      </c>
      <c r="AW12" s="49"/>
      <c r="AX12" s="49"/>
      <c r="AY12" s="49">
        <v>3</v>
      </c>
      <c r="AZ12" s="49">
        <v>2</v>
      </c>
      <c r="BA12" s="49">
        <f t="shared" si="3"/>
        <v>9</v>
      </c>
      <c r="BB12" s="50">
        <f t="shared" si="4"/>
        <v>0.23684210526315788</v>
      </c>
      <c r="BC12" s="51"/>
      <c r="BD12" s="51"/>
      <c r="BE12" s="51"/>
      <c r="BF12" s="51"/>
      <c r="BG12" s="51">
        <v>1</v>
      </c>
      <c r="BH12" s="51">
        <v>8</v>
      </c>
      <c r="BI12" s="51">
        <v>1</v>
      </c>
      <c r="BJ12" s="51">
        <v>5</v>
      </c>
      <c r="BK12" s="51">
        <v>3</v>
      </c>
      <c r="BL12" s="51">
        <v>4</v>
      </c>
      <c r="BM12" s="51"/>
      <c r="BN12" s="51"/>
      <c r="BO12" s="51"/>
      <c r="BP12" s="51"/>
      <c r="BQ12" s="51"/>
      <c r="BR12" s="51">
        <f t="shared" si="5"/>
        <v>22</v>
      </c>
      <c r="BS12" s="52">
        <f t="shared" si="6"/>
        <v>0.57894736842105265</v>
      </c>
      <c r="BT12" s="43">
        <f t="shared" si="7"/>
        <v>38</v>
      </c>
      <c r="BU12" s="53">
        <f t="shared" si="8"/>
        <v>1</v>
      </c>
    </row>
    <row r="13" spans="1:73" x14ac:dyDescent="0.25">
      <c r="A13" s="43">
        <v>8</v>
      </c>
      <c r="B13" s="44" t="s">
        <v>31</v>
      </c>
      <c r="C13" s="43">
        <v>69</v>
      </c>
      <c r="D13" s="38">
        <v>3</v>
      </c>
      <c r="E13" s="38"/>
      <c r="F13" s="38"/>
      <c r="G13" s="38">
        <v>6</v>
      </c>
      <c r="H13" s="38">
        <v>28</v>
      </c>
      <c r="I13" s="38"/>
      <c r="J13" s="38">
        <v>1</v>
      </c>
      <c r="K13" s="38"/>
      <c r="L13" s="38"/>
      <c r="M13" s="38"/>
      <c r="N13" s="38">
        <v>1</v>
      </c>
      <c r="O13" s="38"/>
      <c r="P13" s="38"/>
      <c r="Q13" s="38"/>
      <c r="R13" s="38"/>
      <c r="S13" s="45">
        <f t="shared" si="0"/>
        <v>39</v>
      </c>
      <c r="T13" s="46">
        <f t="shared" si="10"/>
        <v>0.56521739130434778</v>
      </c>
      <c r="U13" s="39"/>
      <c r="V13" s="39"/>
      <c r="W13" s="39"/>
      <c r="X13" s="39"/>
      <c r="Y13" s="39"/>
      <c r="Z13" s="39"/>
      <c r="AA13" s="39"/>
      <c r="AB13" s="39"/>
      <c r="AC13" s="39"/>
      <c r="AD13" s="39">
        <v>1</v>
      </c>
      <c r="AE13" s="39"/>
      <c r="AF13" s="39"/>
      <c r="AG13" s="39"/>
      <c r="AH13" s="39"/>
      <c r="AI13" s="39"/>
      <c r="AJ13" s="47">
        <f t="shared" si="1"/>
        <v>1</v>
      </c>
      <c r="AK13" s="48">
        <f t="shared" si="2"/>
        <v>1.4492753623188406E-2</v>
      </c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>
        <f>SUM(AL13:AZ13)</f>
        <v>0</v>
      </c>
      <c r="BB13" s="50">
        <f t="shared" si="4"/>
        <v>0</v>
      </c>
      <c r="BC13" s="51"/>
      <c r="BD13" s="51"/>
      <c r="BE13" s="51"/>
      <c r="BF13" s="51"/>
      <c r="BG13" s="51"/>
      <c r="BH13" s="51">
        <v>6</v>
      </c>
      <c r="BI13" s="51">
        <v>1</v>
      </c>
      <c r="BJ13" s="51">
        <v>1</v>
      </c>
      <c r="BK13" s="51">
        <v>3</v>
      </c>
      <c r="BL13" s="51">
        <v>2</v>
      </c>
      <c r="BM13" s="51"/>
      <c r="BN13" s="51"/>
      <c r="BO13" s="51"/>
      <c r="BP13" s="51"/>
      <c r="BQ13" s="51"/>
      <c r="BR13" s="51">
        <f t="shared" si="5"/>
        <v>13</v>
      </c>
      <c r="BS13" s="52">
        <f t="shared" si="6"/>
        <v>0.18840579710144928</v>
      </c>
      <c r="BT13" s="43">
        <f t="shared" si="7"/>
        <v>53</v>
      </c>
      <c r="BU13" s="53">
        <f t="shared" si="8"/>
        <v>0.76811594202898548</v>
      </c>
    </row>
    <row r="14" spans="1:73" x14ac:dyDescent="0.25">
      <c r="A14" s="43">
        <v>9</v>
      </c>
      <c r="B14" s="44" t="s">
        <v>32</v>
      </c>
      <c r="C14" s="43">
        <v>43</v>
      </c>
      <c r="D14" s="38">
        <v>1</v>
      </c>
      <c r="E14" s="38">
        <v>2</v>
      </c>
      <c r="F14" s="38"/>
      <c r="G14" s="38">
        <v>3</v>
      </c>
      <c r="H14" s="38">
        <v>27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45">
        <f t="shared" si="0"/>
        <v>33</v>
      </c>
      <c r="T14" s="46">
        <f t="shared" si="10"/>
        <v>0.76744186046511631</v>
      </c>
      <c r="U14" s="39"/>
      <c r="V14" s="39"/>
      <c r="W14" s="39"/>
      <c r="X14" s="39"/>
      <c r="Y14" s="39"/>
      <c r="Z14" s="39">
        <v>1</v>
      </c>
      <c r="AA14" s="39"/>
      <c r="AB14" s="39"/>
      <c r="AC14" s="39"/>
      <c r="AD14" s="39"/>
      <c r="AE14" s="39"/>
      <c r="AF14" s="39"/>
      <c r="AG14" s="39"/>
      <c r="AH14" s="39"/>
      <c r="AI14" s="39"/>
      <c r="AJ14" s="47">
        <f t="shared" si="1"/>
        <v>1</v>
      </c>
      <c r="AK14" s="48">
        <f t="shared" si="2"/>
        <v>2.3255813953488372E-2</v>
      </c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>
        <v>1</v>
      </c>
      <c r="AW14" s="49"/>
      <c r="AX14" s="49"/>
      <c r="AY14" s="49"/>
      <c r="AZ14" s="49"/>
      <c r="BA14" s="49">
        <f t="shared" si="3"/>
        <v>1</v>
      </c>
      <c r="BB14" s="50">
        <f t="shared" si="4"/>
        <v>2.3255813953488372E-2</v>
      </c>
      <c r="BC14" s="51">
        <v>2</v>
      </c>
      <c r="BD14" s="51"/>
      <c r="BE14" s="51"/>
      <c r="BF14" s="51"/>
      <c r="BG14" s="51"/>
      <c r="BH14" s="51">
        <v>1</v>
      </c>
      <c r="BI14" s="51"/>
      <c r="BJ14" s="51"/>
      <c r="BK14" s="51"/>
      <c r="BL14" s="51">
        <v>1</v>
      </c>
      <c r="BM14" s="51"/>
      <c r="BN14" s="51"/>
      <c r="BO14" s="51"/>
      <c r="BP14" s="51"/>
      <c r="BQ14" s="51">
        <v>1</v>
      </c>
      <c r="BR14" s="51">
        <f t="shared" si="5"/>
        <v>5</v>
      </c>
      <c r="BS14" s="52">
        <f t="shared" si="6"/>
        <v>0.11627906976744186</v>
      </c>
      <c r="BT14" s="43">
        <f t="shared" si="7"/>
        <v>40</v>
      </c>
      <c r="BU14" s="53">
        <f t="shared" si="8"/>
        <v>0.93023255813953487</v>
      </c>
    </row>
    <row r="15" spans="1:73" x14ac:dyDescent="0.25">
      <c r="A15" s="43">
        <v>10</v>
      </c>
      <c r="B15" s="44" t="s">
        <v>33</v>
      </c>
      <c r="C15" s="43">
        <v>52</v>
      </c>
      <c r="D15" s="38">
        <v>1</v>
      </c>
      <c r="E15" s="38"/>
      <c r="F15" s="38"/>
      <c r="G15" s="38">
        <v>1</v>
      </c>
      <c r="H15" s="38">
        <v>46</v>
      </c>
      <c r="I15" s="38">
        <v>1</v>
      </c>
      <c r="J15" s="38"/>
      <c r="K15" s="38"/>
      <c r="L15" s="38"/>
      <c r="M15" s="38"/>
      <c r="N15" s="38"/>
      <c r="O15" s="38"/>
      <c r="P15" s="38"/>
      <c r="Q15" s="38"/>
      <c r="R15" s="38"/>
      <c r="S15" s="45">
        <f t="shared" si="0"/>
        <v>49</v>
      </c>
      <c r="T15" s="46">
        <f t="shared" si="10"/>
        <v>0.94230769230769229</v>
      </c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47">
        <f t="shared" si="1"/>
        <v>0</v>
      </c>
      <c r="AK15" s="48">
        <f t="shared" si="2"/>
        <v>0</v>
      </c>
      <c r="AL15" s="49"/>
      <c r="AM15" s="49"/>
      <c r="AN15" s="49"/>
      <c r="AO15" s="49"/>
      <c r="AP15" s="49"/>
      <c r="AQ15" s="49">
        <v>1</v>
      </c>
      <c r="AR15" s="49"/>
      <c r="AS15" s="49"/>
      <c r="AT15" s="49"/>
      <c r="AU15" s="49"/>
      <c r="AV15" s="49"/>
      <c r="AW15" s="49"/>
      <c r="AX15" s="49"/>
      <c r="AY15" s="49"/>
      <c r="AZ15" s="49"/>
      <c r="BA15" s="49">
        <f t="shared" si="3"/>
        <v>1</v>
      </c>
      <c r="BB15" s="50">
        <f t="shared" si="4"/>
        <v>1.9230769230769232E-2</v>
      </c>
      <c r="BC15" s="51">
        <v>1</v>
      </c>
      <c r="BD15" s="51"/>
      <c r="BE15" s="51"/>
      <c r="BF15" s="51"/>
      <c r="BG15" s="51"/>
      <c r="BH15" s="51">
        <v>1</v>
      </c>
      <c r="BI15" s="51"/>
      <c r="BJ15" s="51"/>
      <c r="BK15" s="51"/>
      <c r="BL15" s="51"/>
      <c r="BM15" s="51"/>
      <c r="BN15" s="51"/>
      <c r="BO15" s="51"/>
      <c r="BP15" s="51"/>
      <c r="BQ15" s="51"/>
      <c r="BR15" s="51">
        <f t="shared" si="5"/>
        <v>2</v>
      </c>
      <c r="BS15" s="52">
        <f t="shared" si="6"/>
        <v>3.8461538461538464E-2</v>
      </c>
      <c r="BT15" s="43">
        <f t="shared" si="7"/>
        <v>52</v>
      </c>
      <c r="BU15" s="53">
        <f t="shared" si="8"/>
        <v>1</v>
      </c>
    </row>
    <row r="16" spans="1:73" x14ac:dyDescent="0.25">
      <c r="A16" s="43">
        <v>11</v>
      </c>
      <c r="B16" s="44" t="s">
        <v>34</v>
      </c>
      <c r="C16" s="43">
        <v>19</v>
      </c>
      <c r="D16" s="38">
        <v>1</v>
      </c>
      <c r="E16" s="38"/>
      <c r="F16" s="38"/>
      <c r="G16" s="38"/>
      <c r="H16" s="38">
        <v>10</v>
      </c>
      <c r="I16" s="38"/>
      <c r="J16" s="38"/>
      <c r="K16" s="38"/>
      <c r="L16" s="38"/>
      <c r="M16" s="38"/>
      <c r="N16" s="38">
        <v>1</v>
      </c>
      <c r="O16" s="38"/>
      <c r="P16" s="38"/>
      <c r="Q16" s="38"/>
      <c r="R16" s="38"/>
      <c r="S16" s="45">
        <f t="shared" si="0"/>
        <v>12</v>
      </c>
      <c r="T16" s="46">
        <f t="shared" si="10"/>
        <v>0.63157894736842102</v>
      </c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47">
        <f t="shared" si="1"/>
        <v>0</v>
      </c>
      <c r="AK16" s="48">
        <f t="shared" si="2"/>
        <v>0</v>
      </c>
      <c r="AL16" s="49">
        <v>1</v>
      </c>
      <c r="AM16" s="49"/>
      <c r="AN16" s="49"/>
      <c r="AO16" s="49"/>
      <c r="AP16" s="49">
        <v>1</v>
      </c>
      <c r="AQ16" s="49"/>
      <c r="AR16" s="49"/>
      <c r="AS16" s="49"/>
      <c r="AT16" s="49"/>
      <c r="AU16" s="49"/>
      <c r="AV16" s="49"/>
      <c r="AW16" s="49">
        <v>1</v>
      </c>
      <c r="AX16" s="49"/>
      <c r="AY16" s="49"/>
      <c r="AZ16" s="49">
        <v>2</v>
      </c>
      <c r="BA16" s="49">
        <f t="shared" si="3"/>
        <v>5</v>
      </c>
      <c r="BB16" s="50">
        <f t="shared" si="4"/>
        <v>0.26315789473684209</v>
      </c>
      <c r="BC16" s="51"/>
      <c r="BD16" s="51"/>
      <c r="BE16" s="51"/>
      <c r="BF16" s="51"/>
      <c r="BG16" s="51"/>
      <c r="BH16" s="51"/>
      <c r="BI16" s="51">
        <v>2</v>
      </c>
      <c r="BJ16" s="51"/>
      <c r="BK16" s="51"/>
      <c r="BL16" s="51"/>
      <c r="BM16" s="51"/>
      <c r="BN16" s="51"/>
      <c r="BO16" s="51"/>
      <c r="BP16" s="51"/>
      <c r="BQ16" s="51"/>
      <c r="BR16" s="51">
        <f t="shared" si="5"/>
        <v>2</v>
      </c>
      <c r="BS16" s="52">
        <f t="shared" si="6"/>
        <v>0.10526315789473684</v>
      </c>
      <c r="BT16" s="43">
        <f t="shared" si="7"/>
        <v>19</v>
      </c>
      <c r="BU16" s="53">
        <f t="shared" si="8"/>
        <v>1</v>
      </c>
    </row>
    <row r="17" spans="1:73" x14ac:dyDescent="0.25">
      <c r="A17" s="43">
        <v>12</v>
      </c>
      <c r="B17" s="44" t="s">
        <v>35</v>
      </c>
      <c r="C17" s="43">
        <v>66</v>
      </c>
      <c r="D17" s="38">
        <v>4</v>
      </c>
      <c r="E17" s="38">
        <v>3</v>
      </c>
      <c r="F17" s="38">
        <v>1</v>
      </c>
      <c r="G17" s="38">
        <v>3</v>
      </c>
      <c r="H17" s="38">
        <v>37</v>
      </c>
      <c r="I17" s="38"/>
      <c r="J17" s="38"/>
      <c r="K17" s="38"/>
      <c r="L17" s="38"/>
      <c r="M17" s="38">
        <v>1</v>
      </c>
      <c r="N17" s="38">
        <v>1</v>
      </c>
      <c r="O17" s="38"/>
      <c r="P17" s="38"/>
      <c r="Q17" s="38"/>
      <c r="R17" s="38">
        <v>3</v>
      </c>
      <c r="S17" s="45">
        <f t="shared" si="0"/>
        <v>53</v>
      </c>
      <c r="T17" s="46">
        <f t="shared" si="10"/>
        <v>0.80303030303030298</v>
      </c>
      <c r="U17" s="39"/>
      <c r="V17" s="39"/>
      <c r="W17" s="39"/>
      <c r="X17" s="39"/>
      <c r="Y17" s="39">
        <v>1</v>
      </c>
      <c r="Z17" s="39"/>
      <c r="AA17" s="39"/>
      <c r="AB17" s="39">
        <v>1</v>
      </c>
      <c r="AC17" s="39"/>
      <c r="AD17" s="39"/>
      <c r="AE17" s="39"/>
      <c r="AF17" s="39"/>
      <c r="AG17" s="39"/>
      <c r="AH17" s="39"/>
      <c r="AI17" s="39"/>
      <c r="AJ17" s="47">
        <f t="shared" si="1"/>
        <v>2</v>
      </c>
      <c r="AK17" s="48">
        <f t="shared" si="2"/>
        <v>3.0303030303030304E-2</v>
      </c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>
        <v>5</v>
      </c>
      <c r="AW17" s="49"/>
      <c r="AX17" s="49"/>
      <c r="AY17" s="49"/>
      <c r="AZ17" s="49"/>
      <c r="BA17" s="49">
        <f t="shared" si="3"/>
        <v>5</v>
      </c>
      <c r="BB17" s="50">
        <f t="shared" si="4"/>
        <v>7.575757575757576E-2</v>
      </c>
      <c r="BC17" s="51"/>
      <c r="BD17" s="51"/>
      <c r="BE17" s="51"/>
      <c r="BF17" s="51"/>
      <c r="BG17" s="51"/>
      <c r="BH17" s="51">
        <v>3</v>
      </c>
      <c r="BI17" s="51"/>
      <c r="BJ17" s="51"/>
      <c r="BK17" s="51"/>
      <c r="BL17" s="51">
        <v>1</v>
      </c>
      <c r="BM17" s="51"/>
      <c r="BN17" s="51"/>
      <c r="BO17" s="51">
        <v>1</v>
      </c>
      <c r="BP17" s="51"/>
      <c r="BQ17" s="51"/>
      <c r="BR17" s="51">
        <f t="shared" si="5"/>
        <v>5</v>
      </c>
      <c r="BS17" s="52">
        <f t="shared" si="6"/>
        <v>7.575757575757576E-2</v>
      </c>
      <c r="BT17" s="43">
        <f t="shared" si="7"/>
        <v>65</v>
      </c>
      <c r="BU17" s="53">
        <f t="shared" si="8"/>
        <v>0.98484848484848486</v>
      </c>
    </row>
    <row r="18" spans="1:73" x14ac:dyDescent="0.25">
      <c r="A18" s="43">
        <v>13</v>
      </c>
      <c r="B18" s="44" t="s">
        <v>36</v>
      </c>
      <c r="C18" s="43">
        <v>47</v>
      </c>
      <c r="D18" s="38">
        <v>2</v>
      </c>
      <c r="E18" s="38">
        <v>1</v>
      </c>
      <c r="F18" s="38">
        <v>2</v>
      </c>
      <c r="G18" s="38">
        <v>1</v>
      </c>
      <c r="H18" s="38">
        <v>18</v>
      </c>
      <c r="I18" s="38">
        <v>2</v>
      </c>
      <c r="J18" s="38"/>
      <c r="K18" s="38"/>
      <c r="L18" s="38"/>
      <c r="M18" s="38">
        <v>4</v>
      </c>
      <c r="N18" s="38">
        <v>1</v>
      </c>
      <c r="O18" s="38"/>
      <c r="P18" s="38"/>
      <c r="Q18" s="38"/>
      <c r="R18" s="38"/>
      <c r="S18" s="45">
        <f t="shared" si="0"/>
        <v>31</v>
      </c>
      <c r="T18" s="46">
        <f t="shared" si="10"/>
        <v>0.65957446808510634</v>
      </c>
      <c r="U18" s="39">
        <v>1</v>
      </c>
      <c r="V18" s="39"/>
      <c r="W18" s="39">
        <v>1</v>
      </c>
      <c r="X18" s="39"/>
      <c r="Y18" s="39">
        <v>1</v>
      </c>
      <c r="Z18" s="39"/>
      <c r="AA18" s="39">
        <v>1</v>
      </c>
      <c r="AB18" s="39"/>
      <c r="AC18" s="39"/>
      <c r="AD18" s="39"/>
      <c r="AE18" s="39"/>
      <c r="AF18" s="39"/>
      <c r="AG18" s="39"/>
      <c r="AH18" s="39"/>
      <c r="AI18" s="39"/>
      <c r="AJ18" s="47">
        <f t="shared" si="1"/>
        <v>4</v>
      </c>
      <c r="AK18" s="48">
        <f t="shared" si="2"/>
        <v>8.5106382978723402E-2</v>
      </c>
      <c r="AL18" s="49">
        <v>1</v>
      </c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>
        <f t="shared" si="3"/>
        <v>1</v>
      </c>
      <c r="BB18" s="50">
        <f t="shared" si="4"/>
        <v>2.1276595744680851E-2</v>
      </c>
      <c r="BC18" s="51"/>
      <c r="BD18" s="51"/>
      <c r="BE18" s="51"/>
      <c r="BF18" s="51"/>
      <c r="BG18" s="51">
        <v>1</v>
      </c>
      <c r="BH18" s="51">
        <v>3</v>
      </c>
      <c r="BI18" s="51"/>
      <c r="BJ18" s="51">
        <v>2</v>
      </c>
      <c r="BK18" s="51"/>
      <c r="BL18" s="51">
        <v>3</v>
      </c>
      <c r="BM18" s="51"/>
      <c r="BN18" s="51"/>
      <c r="BO18" s="51"/>
      <c r="BP18" s="51"/>
      <c r="BQ18" s="51"/>
      <c r="BR18" s="51">
        <f t="shared" si="5"/>
        <v>9</v>
      </c>
      <c r="BS18" s="52">
        <f t="shared" si="6"/>
        <v>0.19148936170212766</v>
      </c>
      <c r="BT18" s="43">
        <f t="shared" si="7"/>
        <v>45</v>
      </c>
      <c r="BU18" s="53">
        <f t="shared" si="8"/>
        <v>0.95744680851063835</v>
      </c>
    </row>
    <row r="19" spans="1:73" s="11" customFormat="1" x14ac:dyDescent="0.25">
      <c r="A19" s="42">
        <v>14</v>
      </c>
      <c r="B19" s="54" t="s">
        <v>37</v>
      </c>
      <c r="C19" s="42">
        <v>36</v>
      </c>
      <c r="D19" s="38">
        <v>2</v>
      </c>
      <c r="E19" s="38"/>
      <c r="F19" s="38"/>
      <c r="G19" s="38"/>
      <c r="H19" s="38">
        <v>20</v>
      </c>
      <c r="I19" s="38">
        <v>1</v>
      </c>
      <c r="J19" s="38"/>
      <c r="K19" s="38"/>
      <c r="L19" s="38"/>
      <c r="M19" s="38">
        <v>1</v>
      </c>
      <c r="N19" s="38"/>
      <c r="O19" s="38"/>
      <c r="P19" s="38"/>
      <c r="Q19" s="38"/>
      <c r="R19" s="38"/>
      <c r="S19" s="38">
        <f t="shared" si="0"/>
        <v>24</v>
      </c>
      <c r="T19" s="55">
        <f t="shared" si="10"/>
        <v>0.66666666666666663</v>
      </c>
      <c r="U19" s="39">
        <v>3</v>
      </c>
      <c r="V19" s="39"/>
      <c r="W19" s="39"/>
      <c r="X19" s="39"/>
      <c r="Y19" s="39">
        <v>1</v>
      </c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>
        <f t="shared" si="1"/>
        <v>4</v>
      </c>
      <c r="AK19" s="56">
        <f>AJ19/C19*100%</f>
        <v>0.1111111111111111</v>
      </c>
      <c r="AL19" s="49"/>
      <c r="AM19" s="49"/>
      <c r="AN19" s="49"/>
      <c r="AO19" s="49"/>
      <c r="AP19" s="49">
        <v>1</v>
      </c>
      <c r="AQ19" s="49"/>
      <c r="AR19" s="49"/>
      <c r="AS19" s="49"/>
      <c r="AT19" s="49"/>
      <c r="AU19" s="49"/>
      <c r="AV19" s="49">
        <v>1</v>
      </c>
      <c r="AW19" s="49"/>
      <c r="AX19" s="49"/>
      <c r="AY19" s="49"/>
      <c r="AZ19" s="49">
        <v>2</v>
      </c>
      <c r="BA19" s="40">
        <f t="shared" si="3"/>
        <v>4</v>
      </c>
      <c r="BB19" s="57">
        <f t="shared" si="4"/>
        <v>0.1111111111111111</v>
      </c>
      <c r="BC19" s="41"/>
      <c r="BD19" s="41"/>
      <c r="BE19" s="51"/>
      <c r="BF19" s="51"/>
      <c r="BG19" s="41"/>
      <c r="BH19" s="41"/>
      <c r="BI19" s="41"/>
      <c r="BJ19" s="41"/>
      <c r="BK19" s="51"/>
      <c r="BL19" s="41">
        <v>1</v>
      </c>
      <c r="BM19" s="51">
        <v>1</v>
      </c>
      <c r="BN19" s="51"/>
      <c r="BO19" s="51"/>
      <c r="BP19" s="51"/>
      <c r="BQ19" s="41">
        <v>1</v>
      </c>
      <c r="BR19" s="41">
        <f t="shared" si="5"/>
        <v>3</v>
      </c>
      <c r="BS19" s="58">
        <f t="shared" si="6"/>
        <v>8.3333333333333329E-2</v>
      </c>
      <c r="BT19" s="42">
        <f t="shared" si="7"/>
        <v>35</v>
      </c>
      <c r="BU19" s="59">
        <f t="shared" si="8"/>
        <v>0.97222222222222221</v>
      </c>
    </row>
    <row r="20" spans="1:73" s="11" customFormat="1" ht="37.5" x14ac:dyDescent="0.25">
      <c r="A20" s="60"/>
      <c r="B20" s="61" t="s">
        <v>38</v>
      </c>
      <c r="C20" s="62">
        <f t="shared" ref="C20" si="11">SUM(C6:C19)</f>
        <v>703</v>
      </c>
      <c r="D20" s="42">
        <f>SUM(D6:D19)</f>
        <v>34</v>
      </c>
      <c r="E20" s="42">
        <f t="shared" ref="E20:R20" si="12">SUM(E6:E19)</f>
        <v>18</v>
      </c>
      <c r="F20" s="42">
        <f t="shared" si="12"/>
        <v>7</v>
      </c>
      <c r="G20" s="42">
        <f t="shared" si="12"/>
        <v>31</v>
      </c>
      <c r="H20" s="42">
        <f t="shared" si="12"/>
        <v>348</v>
      </c>
      <c r="I20" s="42">
        <f t="shared" si="12"/>
        <v>4</v>
      </c>
      <c r="J20" s="42">
        <f t="shared" si="12"/>
        <v>2</v>
      </c>
      <c r="K20" s="42">
        <f t="shared" si="12"/>
        <v>2</v>
      </c>
      <c r="L20" s="42">
        <f t="shared" si="12"/>
        <v>3</v>
      </c>
      <c r="M20" s="42">
        <f t="shared" si="12"/>
        <v>11</v>
      </c>
      <c r="N20" s="42">
        <f t="shared" si="12"/>
        <v>5</v>
      </c>
      <c r="O20" s="42">
        <f t="shared" si="12"/>
        <v>0</v>
      </c>
      <c r="P20" s="42">
        <f t="shared" si="12"/>
        <v>0</v>
      </c>
      <c r="Q20" s="42">
        <f t="shared" si="12"/>
        <v>0</v>
      </c>
      <c r="R20" s="42">
        <f t="shared" si="12"/>
        <v>5</v>
      </c>
      <c r="S20" s="42"/>
      <c r="T20" s="42"/>
      <c r="U20" s="42">
        <f>SUM(U6:U19)</f>
        <v>4</v>
      </c>
      <c r="V20" s="42">
        <f t="shared" ref="V20:AI20" si="13">SUM(V6:V19)</f>
        <v>0</v>
      </c>
      <c r="W20" s="42">
        <f t="shared" si="13"/>
        <v>1</v>
      </c>
      <c r="X20" s="42">
        <f t="shared" si="13"/>
        <v>0</v>
      </c>
      <c r="Y20" s="42">
        <f t="shared" si="13"/>
        <v>4</v>
      </c>
      <c r="Z20" s="42">
        <f t="shared" si="13"/>
        <v>4</v>
      </c>
      <c r="AA20" s="42">
        <f t="shared" si="13"/>
        <v>1</v>
      </c>
      <c r="AB20" s="42">
        <f t="shared" si="13"/>
        <v>2</v>
      </c>
      <c r="AC20" s="42">
        <f t="shared" si="13"/>
        <v>0</v>
      </c>
      <c r="AD20" s="42">
        <f t="shared" si="13"/>
        <v>3</v>
      </c>
      <c r="AE20" s="42">
        <f t="shared" si="13"/>
        <v>0</v>
      </c>
      <c r="AF20" s="42">
        <f t="shared" si="13"/>
        <v>0</v>
      </c>
      <c r="AG20" s="42">
        <f t="shared" si="13"/>
        <v>0</v>
      </c>
      <c r="AH20" s="42">
        <f t="shared" si="13"/>
        <v>0</v>
      </c>
      <c r="AI20" s="42">
        <f t="shared" si="13"/>
        <v>0</v>
      </c>
      <c r="AJ20" s="42"/>
      <c r="AK20" s="42"/>
      <c r="AL20" s="42">
        <f>SUM(AL6:AL19)</f>
        <v>4</v>
      </c>
      <c r="AM20" s="42">
        <f t="shared" ref="AM20:AZ20" si="14">SUM(AM6:AM19)</f>
        <v>0</v>
      </c>
      <c r="AN20" s="42">
        <f t="shared" si="14"/>
        <v>0</v>
      </c>
      <c r="AO20" s="42">
        <f t="shared" si="14"/>
        <v>0</v>
      </c>
      <c r="AP20" s="42">
        <f t="shared" si="14"/>
        <v>4</v>
      </c>
      <c r="AQ20" s="42">
        <f t="shared" si="14"/>
        <v>2</v>
      </c>
      <c r="AR20" s="42">
        <f t="shared" si="14"/>
        <v>0</v>
      </c>
      <c r="AS20" s="42">
        <f t="shared" si="14"/>
        <v>0</v>
      </c>
      <c r="AT20" s="42">
        <f t="shared" si="14"/>
        <v>1</v>
      </c>
      <c r="AU20" s="42">
        <f t="shared" si="14"/>
        <v>2</v>
      </c>
      <c r="AV20" s="42">
        <f t="shared" si="14"/>
        <v>12</v>
      </c>
      <c r="AW20" s="42">
        <f t="shared" si="14"/>
        <v>1</v>
      </c>
      <c r="AX20" s="42">
        <f t="shared" si="14"/>
        <v>1</v>
      </c>
      <c r="AY20" s="42">
        <f t="shared" si="14"/>
        <v>8</v>
      </c>
      <c r="AZ20" s="42">
        <f t="shared" si="14"/>
        <v>14</v>
      </c>
      <c r="BA20" s="42"/>
      <c r="BB20" s="42"/>
      <c r="BC20" s="42">
        <f>SUM(BC6:BC19)</f>
        <v>7</v>
      </c>
      <c r="BD20" s="42">
        <f t="shared" ref="BD20:BQ20" si="15">SUM(BD6:BD19)</f>
        <v>0</v>
      </c>
      <c r="BE20" s="42">
        <f t="shared" si="15"/>
        <v>2</v>
      </c>
      <c r="BF20" s="42">
        <f t="shared" si="15"/>
        <v>0</v>
      </c>
      <c r="BG20" s="42">
        <f t="shared" si="15"/>
        <v>6</v>
      </c>
      <c r="BH20" s="42">
        <f t="shared" si="15"/>
        <v>41</v>
      </c>
      <c r="BI20" s="42">
        <f t="shared" si="15"/>
        <v>4</v>
      </c>
      <c r="BJ20" s="42">
        <f t="shared" si="15"/>
        <v>9</v>
      </c>
      <c r="BK20" s="42">
        <f t="shared" si="15"/>
        <v>13</v>
      </c>
      <c r="BL20" s="42">
        <f t="shared" si="15"/>
        <v>20</v>
      </c>
      <c r="BM20" s="42">
        <f t="shared" si="15"/>
        <v>1</v>
      </c>
      <c r="BN20" s="42">
        <f t="shared" si="15"/>
        <v>0</v>
      </c>
      <c r="BO20" s="42">
        <f t="shared" si="15"/>
        <v>1</v>
      </c>
      <c r="BP20" s="42">
        <f t="shared" si="15"/>
        <v>1</v>
      </c>
      <c r="BQ20" s="42">
        <f t="shared" si="15"/>
        <v>2</v>
      </c>
      <c r="BR20" s="42"/>
      <c r="BS20" s="42"/>
      <c r="BT20" s="63">
        <f>SUM(BT6:BT19)</f>
        <v>645</v>
      </c>
      <c r="BU20" s="64">
        <f>BT20/C20*100%</f>
        <v>0.91749644381223328</v>
      </c>
    </row>
    <row r="22" spans="1:73" x14ac:dyDescent="0.25">
      <c r="B22" s="66"/>
      <c r="C22" s="66"/>
    </row>
    <row r="23" spans="1:73" ht="51" x14ac:dyDescent="0.25">
      <c r="B23" s="68" t="s">
        <v>39</v>
      </c>
      <c r="C23" s="68" t="s">
        <v>22</v>
      </c>
      <c r="D23" s="69" t="s">
        <v>40</v>
      </c>
      <c r="BT23" s="70"/>
    </row>
    <row r="24" spans="1:73" x14ac:dyDescent="0.25">
      <c r="B24" s="71" t="s">
        <v>41</v>
      </c>
      <c r="C24" s="68">
        <f>D20+I20+N20+U20+Z20+AE20+AL20+AQ20+AV20+BC20+BH20+BM20</f>
        <v>118</v>
      </c>
      <c r="D24" s="72">
        <f>C24/C20*100</f>
        <v>16.785206258890469</v>
      </c>
    </row>
    <row r="25" spans="1:73" x14ac:dyDescent="0.25">
      <c r="B25" s="71" t="s">
        <v>42</v>
      </c>
      <c r="C25" s="68">
        <f>E20+J20+O20+V20+AA20+AF20+AM20+AR20+AW20+BD20+BI20+BN20</f>
        <v>26</v>
      </c>
      <c r="D25" s="72">
        <f>C25/C20*100</f>
        <v>3.6984352773826461</v>
      </c>
    </row>
    <row r="26" spans="1:73" x14ac:dyDescent="0.25">
      <c r="B26" s="71" t="s">
        <v>43</v>
      </c>
      <c r="C26" s="68">
        <f>F20+K20+P20+W20+AB20+AG20+AN20+AS20+AX20+BE20+BJ20+BO20</f>
        <v>25</v>
      </c>
      <c r="D26" s="72">
        <f>C26/C20*100</f>
        <v>3.5561877667140829</v>
      </c>
    </row>
    <row r="27" spans="1:73" x14ac:dyDescent="0.25">
      <c r="B27" s="71" t="s">
        <v>44</v>
      </c>
      <c r="C27" s="68">
        <f>G20+L20+Q20+X20+AC20+AH20+AO20+AT20+AY20+BF20+BK20+BP20</f>
        <v>57</v>
      </c>
      <c r="D27" s="72">
        <f>C27/C20*100</f>
        <v>8.1081081081081088</v>
      </c>
    </row>
    <row r="28" spans="1:73" x14ac:dyDescent="0.25">
      <c r="B28" s="71" t="s">
        <v>45</v>
      </c>
      <c r="C28" s="68">
        <f>H20+M20+R20+Y20+AD20+AI20+AP20+AU20+AZ20+BG20+BL20+BQ20</f>
        <v>419</v>
      </c>
      <c r="D28" s="72">
        <f>C28/C20*100</f>
        <v>59.601706970128021</v>
      </c>
    </row>
  </sheetData>
  <mergeCells count="38">
    <mergeCell ref="BH4:BL4"/>
    <mergeCell ref="BM4:BQ4"/>
    <mergeCell ref="B22:C22"/>
    <mergeCell ref="BH3:BL3"/>
    <mergeCell ref="BM3:BQ3"/>
    <mergeCell ref="BR3:BS4"/>
    <mergeCell ref="D4:H4"/>
    <mergeCell ref="I4:M4"/>
    <mergeCell ref="N4:R4"/>
    <mergeCell ref="U4:Y4"/>
    <mergeCell ref="Z4:AD4"/>
    <mergeCell ref="AE4:AI4"/>
    <mergeCell ref="AL4:AP4"/>
    <mergeCell ref="AJ3:AK4"/>
    <mergeCell ref="AL3:AP3"/>
    <mergeCell ref="AQ3:AU3"/>
    <mergeCell ref="AV3:AZ3"/>
    <mergeCell ref="BA3:BB4"/>
    <mergeCell ref="BC3:BG3"/>
    <mergeCell ref="AQ4:AU4"/>
    <mergeCell ref="AV4:AZ4"/>
    <mergeCell ref="BC4:BG4"/>
    <mergeCell ref="I3:M3"/>
    <mergeCell ref="N3:R3"/>
    <mergeCell ref="S3:T4"/>
    <mergeCell ref="U3:Y3"/>
    <mergeCell ref="Z3:AD3"/>
    <mergeCell ref="AE3:AI3"/>
    <mergeCell ref="A1:BU1"/>
    <mergeCell ref="A2:A5"/>
    <mergeCell ref="B2:B5"/>
    <mergeCell ref="C2:C5"/>
    <mergeCell ref="D2:T2"/>
    <mergeCell ref="U2:AK2"/>
    <mergeCell ref="AL2:BB2"/>
    <mergeCell ref="BC2:BS2"/>
    <mergeCell ref="BT2:BU4"/>
    <mergeCell ref="D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1D33-4E79-4752-B7D1-B6EC823AD97B}">
  <dimension ref="A1:BU28"/>
  <sheetViews>
    <sheetView zoomScale="70" zoomScaleNormal="70" workbookViewId="0">
      <selection activeCell="C2" sqref="C2:C5"/>
    </sheetView>
  </sheetViews>
  <sheetFormatPr defaultColWidth="9.140625" defaultRowHeight="19.5" x14ac:dyDescent="0.25"/>
  <cols>
    <col min="1" max="1" width="5.28515625" style="65" bestFit="1" customWidth="1"/>
    <col min="2" max="2" width="43.42578125" style="65" bestFit="1" customWidth="1"/>
    <col min="3" max="3" width="20.140625" style="65" bestFit="1" customWidth="1"/>
    <col min="4" max="4" width="6.42578125" style="67" bestFit="1" customWidth="1"/>
    <col min="5" max="7" width="4.5703125" style="67" bestFit="1" customWidth="1"/>
    <col min="8" max="8" width="6.28515625" style="67" bestFit="1" customWidth="1"/>
    <col min="9" max="9" width="4.5703125" style="67" bestFit="1" customWidth="1"/>
    <col min="10" max="10" width="3" style="67" bestFit="1" customWidth="1"/>
    <col min="11" max="11" width="4.5703125" style="67" bestFit="1" customWidth="1"/>
    <col min="12" max="12" width="3" style="67" bestFit="1" customWidth="1"/>
    <col min="13" max="13" width="4.5703125" style="67" bestFit="1" customWidth="1"/>
    <col min="14" max="17" width="3" style="67" bestFit="1" customWidth="1"/>
    <col min="18" max="18" width="4.5703125" style="67" bestFit="1" customWidth="1"/>
    <col min="19" max="19" width="8.28515625" style="65" bestFit="1" customWidth="1"/>
    <col min="20" max="20" width="11.5703125" style="65" bestFit="1" customWidth="1"/>
    <col min="21" max="29" width="3" style="67" bestFit="1" customWidth="1"/>
    <col min="30" max="30" width="4.5703125" style="67" bestFit="1" customWidth="1"/>
    <col min="31" max="34" width="3" style="67" bestFit="1" customWidth="1"/>
    <col min="35" max="35" width="4.5703125" style="67" bestFit="1" customWidth="1"/>
    <col min="36" max="36" width="8.28515625" style="65" bestFit="1" customWidth="1"/>
    <col min="37" max="37" width="11.5703125" style="65" bestFit="1" customWidth="1"/>
    <col min="38" max="52" width="3" style="65" bestFit="1" customWidth="1"/>
    <col min="53" max="53" width="8.28515625" style="65" bestFit="1" customWidth="1"/>
    <col min="54" max="54" width="11.5703125" style="65" bestFit="1" customWidth="1"/>
    <col min="55" max="69" width="3" style="65" bestFit="1" customWidth="1"/>
    <col min="70" max="70" width="8.28515625" style="65" bestFit="1" customWidth="1"/>
    <col min="71" max="71" width="11.5703125" style="65" bestFit="1" customWidth="1"/>
    <col min="72" max="72" width="12" style="2" bestFit="1" customWidth="1"/>
    <col min="73" max="73" width="11.5703125" style="2" bestFit="1" customWidth="1"/>
    <col min="74" max="16384" width="9.140625" style="2"/>
  </cols>
  <sheetData>
    <row r="1" spans="1:73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s="11" customFormat="1" x14ac:dyDescent="0.25">
      <c r="A2" s="3" t="s">
        <v>0</v>
      </c>
      <c r="B2" s="3" t="s">
        <v>1</v>
      </c>
      <c r="C2" s="3" t="s">
        <v>47</v>
      </c>
      <c r="D2" s="4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 t="s">
        <v>4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 t="s">
        <v>5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9" t="s">
        <v>6</v>
      </c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10" t="s">
        <v>7</v>
      </c>
      <c r="BU2" s="10"/>
    </row>
    <row r="3" spans="1:73" s="11" customFormat="1" x14ac:dyDescent="0.25">
      <c r="A3" s="3"/>
      <c r="B3" s="3"/>
      <c r="C3" s="3"/>
      <c r="D3" s="12" t="s">
        <v>8</v>
      </c>
      <c r="E3" s="12"/>
      <c r="F3" s="12"/>
      <c r="G3" s="12"/>
      <c r="H3" s="12"/>
      <c r="I3" s="4" t="s">
        <v>9</v>
      </c>
      <c r="J3" s="5"/>
      <c r="K3" s="5"/>
      <c r="L3" s="5"/>
      <c r="M3" s="5"/>
      <c r="N3" s="4" t="s">
        <v>10</v>
      </c>
      <c r="O3" s="5"/>
      <c r="P3" s="5"/>
      <c r="Q3" s="5"/>
      <c r="R3" s="6"/>
      <c r="S3" s="13" t="s">
        <v>11</v>
      </c>
      <c r="T3" s="14"/>
      <c r="U3" s="7" t="s">
        <v>12</v>
      </c>
      <c r="V3" s="7"/>
      <c r="W3" s="7"/>
      <c r="X3" s="7"/>
      <c r="Y3" s="7"/>
      <c r="Z3" s="15" t="s">
        <v>13</v>
      </c>
      <c r="AA3" s="16"/>
      <c r="AB3" s="16"/>
      <c r="AC3" s="16"/>
      <c r="AD3" s="16"/>
      <c r="AE3" s="15" t="s">
        <v>14</v>
      </c>
      <c r="AF3" s="16"/>
      <c r="AG3" s="16"/>
      <c r="AH3" s="16"/>
      <c r="AI3" s="17"/>
      <c r="AJ3" s="18" t="s">
        <v>11</v>
      </c>
      <c r="AK3" s="19"/>
      <c r="AL3" s="8" t="s">
        <v>15</v>
      </c>
      <c r="AM3" s="8"/>
      <c r="AN3" s="8"/>
      <c r="AO3" s="8"/>
      <c r="AP3" s="8"/>
      <c r="AQ3" s="20" t="s">
        <v>16</v>
      </c>
      <c r="AR3" s="21"/>
      <c r="AS3" s="21"/>
      <c r="AT3" s="21"/>
      <c r="AU3" s="21"/>
      <c r="AV3" s="20" t="s">
        <v>17</v>
      </c>
      <c r="AW3" s="21"/>
      <c r="AX3" s="21"/>
      <c r="AY3" s="21"/>
      <c r="AZ3" s="22"/>
      <c r="BA3" s="23" t="s">
        <v>18</v>
      </c>
      <c r="BB3" s="24"/>
      <c r="BC3" s="9" t="s">
        <v>19</v>
      </c>
      <c r="BD3" s="9"/>
      <c r="BE3" s="9"/>
      <c r="BF3" s="9"/>
      <c r="BG3" s="9"/>
      <c r="BH3" s="25" t="s">
        <v>20</v>
      </c>
      <c r="BI3" s="26"/>
      <c r="BJ3" s="26"/>
      <c r="BK3" s="26"/>
      <c r="BL3" s="26"/>
      <c r="BM3" s="25" t="s">
        <v>21</v>
      </c>
      <c r="BN3" s="26"/>
      <c r="BO3" s="26"/>
      <c r="BP3" s="26"/>
      <c r="BQ3" s="27"/>
      <c r="BR3" s="28" t="s">
        <v>18</v>
      </c>
      <c r="BS3" s="29"/>
      <c r="BT3" s="10"/>
      <c r="BU3" s="10"/>
    </row>
    <row r="4" spans="1:73" s="11" customFormat="1" x14ac:dyDescent="0.25">
      <c r="A4" s="3"/>
      <c r="B4" s="3"/>
      <c r="C4" s="3"/>
      <c r="D4" s="12" t="s">
        <v>22</v>
      </c>
      <c r="E4" s="12"/>
      <c r="F4" s="12"/>
      <c r="G4" s="12"/>
      <c r="H4" s="12"/>
      <c r="I4" s="12" t="s">
        <v>22</v>
      </c>
      <c r="J4" s="12"/>
      <c r="K4" s="12"/>
      <c r="L4" s="12"/>
      <c r="M4" s="12"/>
      <c r="N4" s="12" t="s">
        <v>22</v>
      </c>
      <c r="O4" s="12"/>
      <c r="P4" s="12"/>
      <c r="Q4" s="12"/>
      <c r="R4" s="12"/>
      <c r="S4" s="30"/>
      <c r="T4" s="31"/>
      <c r="U4" s="7" t="s">
        <v>22</v>
      </c>
      <c r="V4" s="7"/>
      <c r="W4" s="7"/>
      <c r="X4" s="7"/>
      <c r="Y4" s="7"/>
      <c r="Z4" s="7" t="s">
        <v>22</v>
      </c>
      <c r="AA4" s="7"/>
      <c r="AB4" s="7"/>
      <c r="AC4" s="7"/>
      <c r="AD4" s="7"/>
      <c r="AE4" s="7" t="s">
        <v>22</v>
      </c>
      <c r="AF4" s="7"/>
      <c r="AG4" s="7"/>
      <c r="AH4" s="7"/>
      <c r="AI4" s="7"/>
      <c r="AJ4" s="32"/>
      <c r="AK4" s="33"/>
      <c r="AL4" s="8" t="s">
        <v>22</v>
      </c>
      <c r="AM4" s="8"/>
      <c r="AN4" s="8"/>
      <c r="AO4" s="8"/>
      <c r="AP4" s="8"/>
      <c r="AQ4" s="8" t="s">
        <v>22</v>
      </c>
      <c r="AR4" s="8"/>
      <c r="AS4" s="8"/>
      <c r="AT4" s="8"/>
      <c r="AU4" s="8"/>
      <c r="AV4" s="8" t="s">
        <v>22</v>
      </c>
      <c r="AW4" s="8"/>
      <c r="AX4" s="8"/>
      <c r="AY4" s="8"/>
      <c r="AZ4" s="8"/>
      <c r="BA4" s="34"/>
      <c r="BB4" s="35"/>
      <c r="BC4" s="9" t="s">
        <v>22</v>
      </c>
      <c r="BD4" s="9"/>
      <c r="BE4" s="9"/>
      <c r="BF4" s="9"/>
      <c r="BG4" s="9"/>
      <c r="BH4" s="9" t="s">
        <v>22</v>
      </c>
      <c r="BI4" s="9"/>
      <c r="BJ4" s="9"/>
      <c r="BK4" s="9"/>
      <c r="BL4" s="9"/>
      <c r="BM4" s="9" t="s">
        <v>22</v>
      </c>
      <c r="BN4" s="9"/>
      <c r="BO4" s="9"/>
      <c r="BP4" s="9"/>
      <c r="BQ4" s="9"/>
      <c r="BR4" s="36"/>
      <c r="BS4" s="37"/>
      <c r="BT4" s="10"/>
      <c r="BU4" s="10"/>
    </row>
    <row r="5" spans="1:73" s="11" customFormat="1" x14ac:dyDescent="0.25">
      <c r="A5" s="3"/>
      <c r="B5" s="3"/>
      <c r="C5" s="3"/>
      <c r="D5" s="38">
        <v>1</v>
      </c>
      <c r="E5" s="38">
        <v>2</v>
      </c>
      <c r="F5" s="38">
        <v>3</v>
      </c>
      <c r="G5" s="38">
        <v>4</v>
      </c>
      <c r="H5" s="38">
        <v>5</v>
      </c>
      <c r="I5" s="38">
        <v>1</v>
      </c>
      <c r="J5" s="38">
        <v>2</v>
      </c>
      <c r="K5" s="38">
        <v>3</v>
      </c>
      <c r="L5" s="38">
        <v>4</v>
      </c>
      <c r="M5" s="38">
        <v>5</v>
      </c>
      <c r="N5" s="38">
        <v>1</v>
      </c>
      <c r="O5" s="38">
        <v>2</v>
      </c>
      <c r="P5" s="38">
        <v>3</v>
      </c>
      <c r="Q5" s="38">
        <v>4</v>
      </c>
      <c r="R5" s="38">
        <v>5</v>
      </c>
      <c r="S5" s="38" t="s">
        <v>18</v>
      </c>
      <c r="T5" s="38" t="s">
        <v>23</v>
      </c>
      <c r="U5" s="39">
        <v>1</v>
      </c>
      <c r="V5" s="39">
        <v>2</v>
      </c>
      <c r="W5" s="39">
        <v>3</v>
      </c>
      <c r="X5" s="39">
        <v>4</v>
      </c>
      <c r="Y5" s="39">
        <v>5</v>
      </c>
      <c r="Z5" s="39">
        <v>1</v>
      </c>
      <c r="AA5" s="39">
        <v>2</v>
      </c>
      <c r="AB5" s="39">
        <v>3</v>
      </c>
      <c r="AC5" s="39">
        <v>4</v>
      </c>
      <c r="AD5" s="39">
        <v>5</v>
      </c>
      <c r="AE5" s="39">
        <v>1</v>
      </c>
      <c r="AF5" s="39">
        <v>2</v>
      </c>
      <c r="AG5" s="39">
        <v>3</v>
      </c>
      <c r="AH5" s="39">
        <v>4</v>
      </c>
      <c r="AI5" s="39">
        <v>5</v>
      </c>
      <c r="AJ5" s="39" t="s">
        <v>18</v>
      </c>
      <c r="AK5" s="39" t="s">
        <v>23</v>
      </c>
      <c r="AL5" s="40">
        <v>1</v>
      </c>
      <c r="AM5" s="40">
        <v>2</v>
      </c>
      <c r="AN5" s="40">
        <v>3</v>
      </c>
      <c r="AO5" s="40">
        <v>4</v>
      </c>
      <c r="AP5" s="40">
        <v>5</v>
      </c>
      <c r="AQ5" s="40">
        <v>1</v>
      </c>
      <c r="AR5" s="40">
        <v>2</v>
      </c>
      <c r="AS5" s="40">
        <v>3</v>
      </c>
      <c r="AT5" s="40">
        <v>4</v>
      </c>
      <c r="AU5" s="40">
        <v>5</v>
      </c>
      <c r="AV5" s="40">
        <v>1</v>
      </c>
      <c r="AW5" s="40">
        <v>2</v>
      </c>
      <c r="AX5" s="40">
        <v>3</v>
      </c>
      <c r="AY5" s="40">
        <v>4</v>
      </c>
      <c r="AZ5" s="40">
        <v>5</v>
      </c>
      <c r="BA5" s="40" t="s">
        <v>18</v>
      </c>
      <c r="BB5" s="40" t="s">
        <v>23</v>
      </c>
      <c r="BC5" s="41">
        <v>1</v>
      </c>
      <c r="BD5" s="41">
        <v>2</v>
      </c>
      <c r="BE5" s="41">
        <v>3</v>
      </c>
      <c r="BF5" s="41">
        <v>4</v>
      </c>
      <c r="BG5" s="41">
        <v>5</v>
      </c>
      <c r="BH5" s="41">
        <v>1</v>
      </c>
      <c r="BI5" s="41">
        <v>2</v>
      </c>
      <c r="BJ5" s="41">
        <v>3</v>
      </c>
      <c r="BK5" s="41">
        <v>4</v>
      </c>
      <c r="BL5" s="41">
        <v>5</v>
      </c>
      <c r="BM5" s="41">
        <v>1</v>
      </c>
      <c r="BN5" s="41">
        <v>2</v>
      </c>
      <c r="BO5" s="41">
        <v>3</v>
      </c>
      <c r="BP5" s="41">
        <v>4</v>
      </c>
      <c r="BQ5" s="41">
        <v>5</v>
      </c>
      <c r="BR5" s="41" t="s">
        <v>18</v>
      </c>
      <c r="BS5" s="41" t="s">
        <v>23</v>
      </c>
      <c r="BT5" s="42" t="s">
        <v>18</v>
      </c>
      <c r="BU5" s="42" t="s">
        <v>23</v>
      </c>
    </row>
    <row r="6" spans="1:73" x14ac:dyDescent="0.25">
      <c r="A6" s="43">
        <v>1</v>
      </c>
      <c r="B6" s="44" t="s">
        <v>24</v>
      </c>
      <c r="C6" s="43">
        <v>91</v>
      </c>
      <c r="D6" s="38">
        <v>8</v>
      </c>
      <c r="E6" s="38"/>
      <c r="F6" s="38">
        <v>1</v>
      </c>
      <c r="G6" s="38">
        <v>2</v>
      </c>
      <c r="H6" s="38">
        <v>15</v>
      </c>
      <c r="I6" s="38">
        <v>2</v>
      </c>
      <c r="J6" s="38"/>
      <c r="K6" s="38"/>
      <c r="L6" s="38"/>
      <c r="M6" s="38">
        <v>1</v>
      </c>
      <c r="N6" s="38"/>
      <c r="O6" s="38"/>
      <c r="P6" s="38"/>
      <c r="Q6" s="38"/>
      <c r="R6" s="38"/>
      <c r="S6" s="45">
        <f>SUM(D6:R6)</f>
        <v>29</v>
      </c>
      <c r="T6" s="46">
        <f>S6/C6*100%</f>
        <v>0.31868131868131866</v>
      </c>
      <c r="U6" s="39">
        <v>1</v>
      </c>
      <c r="V6" s="39"/>
      <c r="W6" s="39"/>
      <c r="X6" s="39"/>
      <c r="Y6" s="39"/>
      <c r="Z6" s="39"/>
      <c r="AA6" s="39"/>
      <c r="AB6" s="39"/>
      <c r="AC6" s="39"/>
      <c r="AD6" s="39">
        <v>1</v>
      </c>
      <c r="AE6" s="39"/>
      <c r="AF6" s="39"/>
      <c r="AG6" s="39"/>
      <c r="AH6" s="39"/>
      <c r="AI6" s="39">
        <v>1</v>
      </c>
      <c r="AJ6" s="47">
        <f>SUM(U6:AI6)</f>
        <v>3</v>
      </c>
      <c r="AK6" s="48">
        <f>AJ6/C6*100%</f>
        <v>3.2967032967032968E-2</v>
      </c>
      <c r="AL6" s="49">
        <v>1</v>
      </c>
      <c r="AM6" s="49">
        <v>1</v>
      </c>
      <c r="AN6" s="49"/>
      <c r="AO6" s="49"/>
      <c r="AP6" s="49"/>
      <c r="AQ6" s="49">
        <v>1</v>
      </c>
      <c r="AR6" s="49"/>
      <c r="AS6" s="49"/>
      <c r="AT6" s="49"/>
      <c r="AU6" s="49"/>
      <c r="AV6" s="49">
        <v>1</v>
      </c>
      <c r="AW6" s="49"/>
      <c r="AX6" s="49"/>
      <c r="AY6" s="49"/>
      <c r="AZ6" s="49"/>
      <c r="BA6" s="49">
        <f>SUM(AL6:AZ6)</f>
        <v>4</v>
      </c>
      <c r="BB6" s="50">
        <f>BA6/C6*100%</f>
        <v>4.3956043956043959E-2</v>
      </c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>
        <v>1</v>
      </c>
      <c r="BR6" s="51">
        <f>SUM(BC6:BQ6)</f>
        <v>1</v>
      </c>
      <c r="BS6" s="52">
        <f>BR6/C6*100%</f>
        <v>1.098901098901099E-2</v>
      </c>
      <c r="BT6" s="43">
        <f>SUM(S6,AJ6,BA6,BR6)</f>
        <v>37</v>
      </c>
      <c r="BU6" s="53">
        <f>BT6/C6*100%</f>
        <v>0.40659340659340659</v>
      </c>
    </row>
    <row r="7" spans="1:73" x14ac:dyDescent="0.25">
      <c r="A7" s="43">
        <v>2</v>
      </c>
      <c r="B7" s="44" t="s">
        <v>25</v>
      </c>
      <c r="C7" s="43">
        <v>82</v>
      </c>
      <c r="D7" s="38"/>
      <c r="E7" s="38"/>
      <c r="F7" s="38"/>
      <c r="G7" s="38"/>
      <c r="H7" s="38">
        <v>3</v>
      </c>
      <c r="I7" s="38">
        <v>1</v>
      </c>
      <c r="J7" s="38"/>
      <c r="K7" s="38">
        <v>1</v>
      </c>
      <c r="L7" s="38"/>
      <c r="M7" s="38">
        <v>2</v>
      </c>
      <c r="N7" s="38"/>
      <c r="O7" s="38"/>
      <c r="P7" s="38"/>
      <c r="Q7" s="38"/>
      <c r="R7" s="38">
        <v>1</v>
      </c>
      <c r="S7" s="45">
        <f t="shared" ref="S7:S19" si="0">SUM(D7:R7)</f>
        <v>8</v>
      </c>
      <c r="T7" s="46">
        <f>S7/C7*100%</f>
        <v>9.7560975609756101E-2</v>
      </c>
      <c r="U7" s="39">
        <v>2</v>
      </c>
      <c r="V7" s="39"/>
      <c r="W7" s="39"/>
      <c r="X7" s="39"/>
      <c r="Y7" s="39">
        <v>2</v>
      </c>
      <c r="Z7" s="39"/>
      <c r="AA7" s="39"/>
      <c r="AB7" s="39"/>
      <c r="AC7" s="39"/>
      <c r="AD7" s="39">
        <v>1</v>
      </c>
      <c r="AE7" s="39">
        <v>3</v>
      </c>
      <c r="AF7" s="39"/>
      <c r="AG7" s="39"/>
      <c r="AH7" s="39"/>
      <c r="AI7" s="39"/>
      <c r="AJ7" s="47">
        <f t="shared" ref="AJ7:AJ19" si="1">SUM(U7:AI7)</f>
        <v>8</v>
      </c>
      <c r="AK7" s="48">
        <f t="shared" ref="AK7:AK18" si="2">AJ7/C7*100%</f>
        <v>9.7560975609756101E-2</v>
      </c>
      <c r="AL7" s="49"/>
      <c r="AM7" s="49"/>
      <c r="AN7" s="49"/>
      <c r="AO7" s="49"/>
      <c r="AP7" s="49">
        <v>1</v>
      </c>
      <c r="AQ7" s="49"/>
      <c r="AR7" s="49">
        <v>1</v>
      </c>
      <c r="AS7" s="49"/>
      <c r="AT7" s="49"/>
      <c r="AU7" s="49"/>
      <c r="AV7" s="49">
        <v>3</v>
      </c>
      <c r="AW7" s="49"/>
      <c r="AX7" s="49"/>
      <c r="AY7" s="49">
        <v>1</v>
      </c>
      <c r="AZ7" s="49">
        <v>1</v>
      </c>
      <c r="BA7" s="49">
        <f t="shared" ref="BA7:BA19" si="3">SUM(AL7:AZ7)</f>
        <v>7</v>
      </c>
      <c r="BB7" s="50">
        <f t="shared" ref="BB7:BB19" si="4">BA7/C7*100%</f>
        <v>8.5365853658536592E-2</v>
      </c>
      <c r="BC7" s="51"/>
      <c r="BD7" s="51"/>
      <c r="BE7" s="51">
        <v>1</v>
      </c>
      <c r="BF7" s="51"/>
      <c r="BG7" s="51"/>
      <c r="BH7" s="51"/>
      <c r="BI7" s="51"/>
      <c r="BJ7" s="51"/>
      <c r="BK7" s="51"/>
      <c r="BL7" s="51"/>
      <c r="BM7" s="51">
        <v>1</v>
      </c>
      <c r="BN7" s="51"/>
      <c r="BO7" s="51"/>
      <c r="BP7" s="51"/>
      <c r="BQ7" s="51"/>
      <c r="BR7" s="51">
        <f t="shared" ref="BR7:BR19" si="5">SUM(BC7:BQ7)</f>
        <v>2</v>
      </c>
      <c r="BS7" s="52">
        <f t="shared" ref="BS7:BS19" si="6">BR7/C7*100%</f>
        <v>2.4390243902439025E-2</v>
      </c>
      <c r="BT7" s="43">
        <f t="shared" ref="BT7:BT19" si="7">SUM(S7,AJ7,BA7,BR7)</f>
        <v>25</v>
      </c>
      <c r="BU7" s="53">
        <f t="shared" ref="BU7:BU19" si="8">BT7/C7*100%</f>
        <v>0.3048780487804878</v>
      </c>
    </row>
    <row r="8" spans="1:73" x14ac:dyDescent="0.25">
      <c r="A8" s="43">
        <v>3</v>
      </c>
      <c r="B8" s="44" t="s">
        <v>26</v>
      </c>
      <c r="C8" s="43">
        <v>95</v>
      </c>
      <c r="D8" s="38">
        <v>3</v>
      </c>
      <c r="E8" s="38"/>
      <c r="F8" s="38">
        <v>2</v>
      </c>
      <c r="G8" s="38"/>
      <c r="H8" s="38">
        <v>1</v>
      </c>
      <c r="I8" s="38">
        <v>8</v>
      </c>
      <c r="J8" s="38"/>
      <c r="K8" s="38">
        <v>12</v>
      </c>
      <c r="L8" s="38">
        <v>1</v>
      </c>
      <c r="M8" s="38">
        <v>7</v>
      </c>
      <c r="N8" s="38"/>
      <c r="O8" s="38"/>
      <c r="P8" s="38">
        <v>1</v>
      </c>
      <c r="Q8" s="38"/>
      <c r="R8" s="38"/>
      <c r="S8" s="45">
        <f t="shared" si="0"/>
        <v>35</v>
      </c>
      <c r="T8" s="46">
        <f t="shared" ref="T8:T9" si="9">S8/C8*100%</f>
        <v>0.36842105263157893</v>
      </c>
      <c r="U8" s="39">
        <v>1</v>
      </c>
      <c r="V8" s="39"/>
      <c r="W8" s="39"/>
      <c r="X8" s="39"/>
      <c r="Y8" s="39"/>
      <c r="Z8" s="39">
        <v>2</v>
      </c>
      <c r="AA8" s="39"/>
      <c r="AB8" s="39"/>
      <c r="AC8" s="39"/>
      <c r="AD8" s="39">
        <v>3</v>
      </c>
      <c r="AE8" s="39"/>
      <c r="AF8" s="39">
        <v>1</v>
      </c>
      <c r="AG8" s="39"/>
      <c r="AH8" s="39"/>
      <c r="AI8" s="39">
        <v>6</v>
      </c>
      <c r="AJ8" s="47">
        <f t="shared" si="1"/>
        <v>13</v>
      </c>
      <c r="AK8" s="48">
        <f t="shared" si="2"/>
        <v>0.1368421052631579</v>
      </c>
      <c r="AL8" s="49">
        <v>2</v>
      </c>
      <c r="AM8" s="49"/>
      <c r="AN8" s="49">
        <v>1</v>
      </c>
      <c r="AO8" s="49">
        <v>1</v>
      </c>
      <c r="AP8" s="49">
        <v>3</v>
      </c>
      <c r="AQ8" s="49">
        <v>2</v>
      </c>
      <c r="AR8" s="49"/>
      <c r="AS8" s="49"/>
      <c r="AT8" s="49"/>
      <c r="AU8" s="49">
        <v>1</v>
      </c>
      <c r="AV8" s="49">
        <v>4</v>
      </c>
      <c r="AW8" s="49"/>
      <c r="AX8" s="49"/>
      <c r="AY8" s="49"/>
      <c r="AZ8" s="49">
        <v>2</v>
      </c>
      <c r="BA8" s="49">
        <f t="shared" si="3"/>
        <v>16</v>
      </c>
      <c r="BB8" s="50">
        <f t="shared" si="4"/>
        <v>0.16842105263157894</v>
      </c>
      <c r="BC8" s="51">
        <v>1</v>
      </c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>
        <v>2</v>
      </c>
      <c r="BR8" s="51">
        <f t="shared" si="5"/>
        <v>3</v>
      </c>
      <c r="BS8" s="52">
        <f t="shared" si="6"/>
        <v>3.1578947368421054E-2</v>
      </c>
      <c r="BT8" s="43">
        <f t="shared" si="7"/>
        <v>67</v>
      </c>
      <c r="BU8" s="53">
        <f t="shared" si="8"/>
        <v>0.70526315789473681</v>
      </c>
    </row>
    <row r="9" spans="1:73" x14ac:dyDescent="0.25">
      <c r="A9" s="43">
        <v>4</v>
      </c>
      <c r="B9" s="44" t="s">
        <v>27</v>
      </c>
      <c r="C9" s="43">
        <v>101</v>
      </c>
      <c r="D9" s="38">
        <v>3</v>
      </c>
      <c r="E9" s="38">
        <v>1</v>
      </c>
      <c r="F9" s="38"/>
      <c r="G9" s="38">
        <v>3</v>
      </c>
      <c r="H9" s="38">
        <v>14</v>
      </c>
      <c r="I9" s="38">
        <v>6</v>
      </c>
      <c r="J9" s="38">
        <v>1</v>
      </c>
      <c r="K9" s="38">
        <v>3</v>
      </c>
      <c r="L9" s="38"/>
      <c r="M9" s="38">
        <v>24</v>
      </c>
      <c r="N9" s="38"/>
      <c r="O9" s="38">
        <v>1</v>
      </c>
      <c r="P9" s="38"/>
      <c r="Q9" s="38"/>
      <c r="R9" s="38">
        <v>7</v>
      </c>
      <c r="S9" s="45">
        <f t="shared" si="0"/>
        <v>63</v>
      </c>
      <c r="T9" s="46">
        <f t="shared" si="9"/>
        <v>0.62376237623762376</v>
      </c>
      <c r="U9" s="39"/>
      <c r="V9" s="39"/>
      <c r="W9" s="39"/>
      <c r="X9" s="39"/>
      <c r="Y9" s="39">
        <v>2</v>
      </c>
      <c r="Z9" s="39"/>
      <c r="AA9" s="39"/>
      <c r="AB9" s="39"/>
      <c r="AC9" s="39"/>
      <c r="AD9" s="39">
        <v>1</v>
      </c>
      <c r="AE9" s="39"/>
      <c r="AF9" s="39">
        <v>1</v>
      </c>
      <c r="AG9" s="39"/>
      <c r="AH9" s="39"/>
      <c r="AI9" s="39">
        <v>5</v>
      </c>
      <c r="AJ9" s="47">
        <f t="shared" si="1"/>
        <v>9</v>
      </c>
      <c r="AK9" s="48">
        <f t="shared" si="2"/>
        <v>8.9108910891089105E-2</v>
      </c>
      <c r="AL9" s="49">
        <v>1</v>
      </c>
      <c r="AM9" s="49"/>
      <c r="AN9" s="49"/>
      <c r="AO9" s="49"/>
      <c r="AP9" s="49">
        <v>1</v>
      </c>
      <c r="AQ9" s="49"/>
      <c r="AR9" s="49"/>
      <c r="AS9" s="49"/>
      <c r="AT9" s="49"/>
      <c r="AU9" s="49">
        <v>2</v>
      </c>
      <c r="AV9" s="49"/>
      <c r="AW9" s="49">
        <v>1</v>
      </c>
      <c r="AX9" s="49"/>
      <c r="AY9" s="49">
        <v>1</v>
      </c>
      <c r="AZ9" s="49">
        <v>2</v>
      </c>
      <c r="BA9" s="49">
        <f t="shared" si="3"/>
        <v>8</v>
      </c>
      <c r="BB9" s="50">
        <f t="shared" si="4"/>
        <v>7.9207920792079209E-2</v>
      </c>
      <c r="BC9" s="51"/>
      <c r="BD9" s="51"/>
      <c r="BE9" s="51"/>
      <c r="BF9" s="51">
        <v>1</v>
      </c>
      <c r="BG9" s="51">
        <v>1</v>
      </c>
      <c r="BH9" s="51"/>
      <c r="BI9" s="51"/>
      <c r="BJ9" s="51"/>
      <c r="BK9" s="51"/>
      <c r="BL9" s="51"/>
      <c r="BM9" s="51">
        <v>2</v>
      </c>
      <c r="BN9" s="51"/>
      <c r="BO9" s="51"/>
      <c r="BP9" s="51"/>
      <c r="BQ9" s="51"/>
      <c r="BR9" s="51">
        <f t="shared" si="5"/>
        <v>4</v>
      </c>
      <c r="BS9" s="52">
        <f t="shared" si="6"/>
        <v>3.9603960396039604E-2</v>
      </c>
      <c r="BT9" s="43">
        <f t="shared" si="7"/>
        <v>84</v>
      </c>
      <c r="BU9" s="53">
        <f t="shared" si="8"/>
        <v>0.83168316831683164</v>
      </c>
    </row>
    <row r="10" spans="1:73" x14ac:dyDescent="0.25">
      <c r="A10" s="43">
        <v>5</v>
      </c>
      <c r="B10" s="44" t="s">
        <v>28</v>
      </c>
      <c r="C10" s="43">
        <v>41</v>
      </c>
      <c r="D10" s="38">
        <v>1</v>
      </c>
      <c r="E10" s="38"/>
      <c r="F10" s="38"/>
      <c r="G10" s="38">
        <v>1</v>
      </c>
      <c r="H10" s="38">
        <v>4</v>
      </c>
      <c r="I10" s="38"/>
      <c r="J10" s="38"/>
      <c r="K10" s="38"/>
      <c r="L10" s="38"/>
      <c r="M10" s="38"/>
      <c r="N10" s="38">
        <v>3</v>
      </c>
      <c r="O10" s="38">
        <v>1</v>
      </c>
      <c r="P10" s="38"/>
      <c r="Q10" s="38">
        <v>3</v>
      </c>
      <c r="R10" s="38">
        <v>26</v>
      </c>
      <c r="S10" s="45">
        <f t="shared" si="0"/>
        <v>39</v>
      </c>
      <c r="T10" s="46">
        <f>S10/C10*100%</f>
        <v>0.95121951219512191</v>
      </c>
      <c r="U10" s="39">
        <v>1</v>
      </c>
      <c r="V10" s="39"/>
      <c r="W10" s="39"/>
      <c r="X10" s="39"/>
      <c r="Y10" s="39"/>
      <c r="Z10" s="39"/>
      <c r="AA10" s="39"/>
      <c r="AB10" s="39"/>
      <c r="AC10" s="39"/>
      <c r="AD10" s="39"/>
      <c r="AE10" s="39">
        <v>1</v>
      </c>
      <c r="AF10" s="39"/>
      <c r="AG10" s="39"/>
      <c r="AH10" s="39"/>
      <c r="AI10" s="39">
        <v>1</v>
      </c>
      <c r="AJ10" s="47">
        <f t="shared" si="1"/>
        <v>3</v>
      </c>
      <c r="AK10" s="48">
        <f t="shared" si="2"/>
        <v>7.3170731707317069E-2</v>
      </c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>
        <f t="shared" si="3"/>
        <v>0</v>
      </c>
      <c r="BB10" s="50">
        <f t="shared" si="4"/>
        <v>0</v>
      </c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>
        <f t="shared" si="5"/>
        <v>0</v>
      </c>
      <c r="BS10" s="52">
        <f t="shared" si="6"/>
        <v>0</v>
      </c>
      <c r="BT10" s="43">
        <f t="shared" si="7"/>
        <v>42</v>
      </c>
      <c r="BU10" s="53">
        <f t="shared" si="8"/>
        <v>1.024390243902439</v>
      </c>
    </row>
    <row r="11" spans="1:73" s="11" customFormat="1" x14ac:dyDescent="0.25">
      <c r="A11" s="42">
        <v>6</v>
      </c>
      <c r="B11" s="54" t="s">
        <v>29</v>
      </c>
      <c r="C11" s="42">
        <v>79</v>
      </c>
      <c r="D11" s="38">
        <v>9</v>
      </c>
      <c r="E11" s="38">
        <v>3</v>
      </c>
      <c r="F11" s="38">
        <v>18</v>
      </c>
      <c r="G11" s="38">
        <v>2</v>
      </c>
      <c r="H11" s="38">
        <v>33</v>
      </c>
      <c r="I11" s="38"/>
      <c r="J11" s="38"/>
      <c r="K11" s="38"/>
      <c r="L11" s="38"/>
      <c r="M11" s="38"/>
      <c r="N11" s="38">
        <v>3</v>
      </c>
      <c r="O11" s="38"/>
      <c r="P11" s="38">
        <v>1</v>
      </c>
      <c r="Q11" s="38"/>
      <c r="R11" s="38"/>
      <c r="S11" s="38">
        <f t="shared" si="0"/>
        <v>69</v>
      </c>
      <c r="T11" s="55">
        <f t="shared" ref="T11:T19" si="10">S11/C11*100%</f>
        <v>0.87341772151898733</v>
      </c>
      <c r="U11" s="39">
        <v>1</v>
      </c>
      <c r="V11" s="39"/>
      <c r="W11" s="39"/>
      <c r="X11" s="39"/>
      <c r="Y11" s="39"/>
      <c r="Z11" s="39"/>
      <c r="AA11" s="39"/>
      <c r="AB11" s="39"/>
      <c r="AC11" s="39"/>
      <c r="AD11" s="39">
        <v>1</v>
      </c>
      <c r="AE11" s="39">
        <v>1</v>
      </c>
      <c r="AF11" s="39"/>
      <c r="AG11" s="39"/>
      <c r="AH11" s="39"/>
      <c r="AI11" s="39"/>
      <c r="AJ11" s="39">
        <f t="shared" si="1"/>
        <v>3</v>
      </c>
      <c r="AK11" s="56">
        <f t="shared" si="2"/>
        <v>3.7974683544303799E-2</v>
      </c>
      <c r="AL11" s="49"/>
      <c r="AM11" s="49"/>
      <c r="AN11" s="49"/>
      <c r="AO11" s="49">
        <v>1</v>
      </c>
      <c r="AP11" s="49">
        <v>1</v>
      </c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0">
        <f t="shared" si="3"/>
        <v>2</v>
      </c>
      <c r="BB11" s="57">
        <f t="shared" si="4"/>
        <v>2.5316455696202531E-2</v>
      </c>
      <c r="BC11" s="41"/>
      <c r="BD11" s="51"/>
      <c r="BE11" s="51"/>
      <c r="BF11" s="51"/>
      <c r="BG11" s="41"/>
      <c r="BH11" s="41"/>
      <c r="BI11" s="41"/>
      <c r="BJ11" s="51"/>
      <c r="BK11" s="51"/>
      <c r="BL11" s="41"/>
      <c r="BM11" s="51"/>
      <c r="BN11" s="51"/>
      <c r="BO11" s="51"/>
      <c r="BP11" s="51"/>
      <c r="BQ11" s="51"/>
      <c r="BR11" s="41">
        <f t="shared" si="5"/>
        <v>0</v>
      </c>
      <c r="BS11" s="58">
        <f t="shared" si="6"/>
        <v>0</v>
      </c>
      <c r="BT11" s="42">
        <f t="shared" si="7"/>
        <v>74</v>
      </c>
      <c r="BU11" s="59">
        <f t="shared" si="8"/>
        <v>0.93670886075949367</v>
      </c>
    </row>
    <row r="12" spans="1:73" x14ac:dyDescent="0.25">
      <c r="A12" s="43">
        <v>7</v>
      </c>
      <c r="B12" s="44" t="s">
        <v>30</v>
      </c>
      <c r="C12" s="43">
        <v>45</v>
      </c>
      <c r="D12" s="38">
        <v>12</v>
      </c>
      <c r="E12" s="38">
        <v>1</v>
      </c>
      <c r="F12" s="38">
        <v>11</v>
      </c>
      <c r="G12" s="38">
        <v>1</v>
      </c>
      <c r="H12" s="38">
        <v>5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45">
        <f t="shared" si="0"/>
        <v>30</v>
      </c>
      <c r="T12" s="46">
        <f t="shared" si="10"/>
        <v>0.66666666666666663</v>
      </c>
      <c r="U12" s="39"/>
      <c r="V12" s="39"/>
      <c r="W12" s="39"/>
      <c r="X12" s="39"/>
      <c r="Y12" s="39"/>
      <c r="Z12" s="39">
        <v>3</v>
      </c>
      <c r="AA12" s="39"/>
      <c r="AB12" s="39"/>
      <c r="AC12" s="39"/>
      <c r="AD12" s="39">
        <v>3</v>
      </c>
      <c r="AE12" s="39"/>
      <c r="AF12" s="39"/>
      <c r="AG12" s="39"/>
      <c r="AH12" s="39"/>
      <c r="AI12" s="39"/>
      <c r="AJ12" s="47">
        <f t="shared" si="1"/>
        <v>6</v>
      </c>
      <c r="AK12" s="48">
        <f t="shared" si="2"/>
        <v>0.13333333333333333</v>
      </c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>
        <f t="shared" si="3"/>
        <v>0</v>
      </c>
      <c r="BB12" s="50">
        <f t="shared" si="4"/>
        <v>0</v>
      </c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>
        <f t="shared" si="5"/>
        <v>0</v>
      </c>
      <c r="BS12" s="52">
        <f t="shared" si="6"/>
        <v>0</v>
      </c>
      <c r="BT12" s="43">
        <f t="shared" si="7"/>
        <v>36</v>
      </c>
      <c r="BU12" s="53">
        <f t="shared" si="8"/>
        <v>0.8</v>
      </c>
    </row>
    <row r="13" spans="1:73" x14ac:dyDescent="0.25">
      <c r="A13" s="43">
        <v>8</v>
      </c>
      <c r="B13" s="44" t="s">
        <v>31</v>
      </c>
      <c r="C13" s="43">
        <v>75</v>
      </c>
      <c r="D13" s="38">
        <v>6</v>
      </c>
      <c r="E13" s="38"/>
      <c r="F13" s="38">
        <v>1</v>
      </c>
      <c r="G13" s="38">
        <v>3</v>
      </c>
      <c r="H13" s="38">
        <v>43</v>
      </c>
      <c r="I13" s="38"/>
      <c r="J13" s="38"/>
      <c r="K13" s="38"/>
      <c r="L13" s="38"/>
      <c r="M13" s="38">
        <v>3</v>
      </c>
      <c r="N13" s="38"/>
      <c r="O13" s="38"/>
      <c r="P13" s="38"/>
      <c r="Q13" s="38"/>
      <c r="R13" s="38"/>
      <c r="S13" s="45">
        <f t="shared" si="0"/>
        <v>56</v>
      </c>
      <c r="T13" s="46">
        <f t="shared" si="10"/>
        <v>0.7466666666666667</v>
      </c>
      <c r="U13" s="39">
        <v>1</v>
      </c>
      <c r="V13" s="39"/>
      <c r="W13" s="39"/>
      <c r="X13" s="39"/>
      <c r="Y13" s="39">
        <v>1</v>
      </c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47">
        <f t="shared" si="1"/>
        <v>2</v>
      </c>
      <c r="AK13" s="48">
        <f t="shared" si="2"/>
        <v>2.6666666666666668E-2</v>
      </c>
      <c r="AL13" s="49">
        <v>1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>
        <f>SUM(AL13:AZ13)</f>
        <v>1</v>
      </c>
      <c r="BB13" s="50">
        <f t="shared" si="4"/>
        <v>1.3333333333333334E-2</v>
      </c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>
        <f t="shared" si="5"/>
        <v>0</v>
      </c>
      <c r="BS13" s="52">
        <f t="shared" si="6"/>
        <v>0</v>
      </c>
      <c r="BT13" s="43">
        <f t="shared" si="7"/>
        <v>59</v>
      </c>
      <c r="BU13" s="53">
        <f t="shared" si="8"/>
        <v>0.78666666666666663</v>
      </c>
    </row>
    <row r="14" spans="1:73" x14ac:dyDescent="0.25">
      <c r="A14" s="43">
        <v>9</v>
      </c>
      <c r="B14" s="44" t="s">
        <v>32</v>
      </c>
      <c r="C14" s="43">
        <v>58</v>
      </c>
      <c r="D14" s="38">
        <v>2</v>
      </c>
      <c r="E14" s="38">
        <v>2</v>
      </c>
      <c r="F14" s="38">
        <v>1</v>
      </c>
      <c r="G14" s="38">
        <v>1</v>
      </c>
      <c r="H14" s="38">
        <v>27</v>
      </c>
      <c r="I14" s="38">
        <v>1</v>
      </c>
      <c r="J14" s="38"/>
      <c r="K14" s="38"/>
      <c r="L14" s="38"/>
      <c r="M14" s="38">
        <v>1</v>
      </c>
      <c r="N14" s="38"/>
      <c r="O14" s="38"/>
      <c r="P14" s="38"/>
      <c r="Q14" s="38"/>
      <c r="R14" s="38"/>
      <c r="S14" s="45">
        <f t="shared" si="0"/>
        <v>35</v>
      </c>
      <c r="T14" s="46">
        <f t="shared" si="10"/>
        <v>0.60344827586206895</v>
      </c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47">
        <f t="shared" si="1"/>
        <v>0</v>
      </c>
      <c r="AK14" s="48">
        <f t="shared" si="2"/>
        <v>0</v>
      </c>
      <c r="AL14" s="49"/>
      <c r="AM14" s="49"/>
      <c r="AN14" s="49"/>
      <c r="AO14" s="49"/>
      <c r="AP14" s="49"/>
      <c r="AQ14" s="49">
        <v>1</v>
      </c>
      <c r="AR14" s="49"/>
      <c r="AS14" s="49"/>
      <c r="AT14" s="49"/>
      <c r="AU14" s="49">
        <v>1</v>
      </c>
      <c r="AV14" s="49"/>
      <c r="AW14" s="49">
        <v>1</v>
      </c>
      <c r="AX14" s="49"/>
      <c r="AY14" s="49">
        <v>1</v>
      </c>
      <c r="AZ14" s="49"/>
      <c r="BA14" s="49">
        <f t="shared" si="3"/>
        <v>4</v>
      </c>
      <c r="BB14" s="50">
        <f t="shared" si="4"/>
        <v>6.8965517241379309E-2</v>
      </c>
      <c r="BC14" s="51"/>
      <c r="BD14" s="51"/>
      <c r="BE14" s="51"/>
      <c r="BF14" s="51"/>
      <c r="BG14" s="51"/>
      <c r="BH14" s="51"/>
      <c r="BI14" s="51"/>
      <c r="BJ14" s="51"/>
      <c r="BK14" s="51"/>
      <c r="BL14" s="51">
        <v>2</v>
      </c>
      <c r="BM14" s="51"/>
      <c r="BN14" s="51"/>
      <c r="BO14" s="51"/>
      <c r="BP14" s="51"/>
      <c r="BQ14" s="51"/>
      <c r="BR14" s="51">
        <f t="shared" si="5"/>
        <v>2</v>
      </c>
      <c r="BS14" s="52">
        <f t="shared" si="6"/>
        <v>3.4482758620689655E-2</v>
      </c>
      <c r="BT14" s="43">
        <f t="shared" si="7"/>
        <v>41</v>
      </c>
      <c r="BU14" s="53">
        <f t="shared" si="8"/>
        <v>0.7068965517241379</v>
      </c>
    </row>
    <row r="15" spans="1:73" x14ac:dyDescent="0.25">
      <c r="A15" s="43">
        <v>10</v>
      </c>
      <c r="B15" s="44" t="s">
        <v>33</v>
      </c>
      <c r="C15" s="43">
        <v>74</v>
      </c>
      <c r="D15" s="38">
        <v>5</v>
      </c>
      <c r="E15" s="38">
        <v>3</v>
      </c>
      <c r="F15" s="38">
        <v>3</v>
      </c>
      <c r="G15" s="38"/>
      <c r="H15" s="38">
        <v>24</v>
      </c>
      <c r="I15" s="38"/>
      <c r="J15" s="38"/>
      <c r="K15" s="38"/>
      <c r="L15" s="38"/>
      <c r="M15" s="38"/>
      <c r="N15" s="38">
        <v>1</v>
      </c>
      <c r="O15" s="38"/>
      <c r="P15" s="38"/>
      <c r="Q15" s="38"/>
      <c r="R15" s="38"/>
      <c r="S15" s="45">
        <f t="shared" si="0"/>
        <v>36</v>
      </c>
      <c r="T15" s="46">
        <f t="shared" si="10"/>
        <v>0.48648648648648651</v>
      </c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47">
        <f t="shared" si="1"/>
        <v>0</v>
      </c>
      <c r="AK15" s="48">
        <f t="shared" si="2"/>
        <v>0</v>
      </c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>
        <f t="shared" si="3"/>
        <v>0</v>
      </c>
      <c r="BB15" s="50">
        <f t="shared" si="4"/>
        <v>0</v>
      </c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>
        <v>1</v>
      </c>
      <c r="BN15" s="51"/>
      <c r="BO15" s="51"/>
      <c r="BP15" s="51"/>
      <c r="BQ15" s="51">
        <v>1</v>
      </c>
      <c r="BR15" s="51">
        <f t="shared" si="5"/>
        <v>2</v>
      </c>
      <c r="BS15" s="52">
        <f t="shared" si="6"/>
        <v>2.7027027027027029E-2</v>
      </c>
      <c r="BT15" s="43">
        <f t="shared" si="7"/>
        <v>38</v>
      </c>
      <c r="BU15" s="53">
        <f t="shared" si="8"/>
        <v>0.51351351351351349</v>
      </c>
    </row>
    <row r="16" spans="1:73" x14ac:dyDescent="0.25">
      <c r="A16" s="43">
        <v>11</v>
      </c>
      <c r="B16" s="44" t="s">
        <v>34</v>
      </c>
      <c r="C16" s="43">
        <v>13</v>
      </c>
      <c r="D16" s="38">
        <v>3</v>
      </c>
      <c r="E16" s="38"/>
      <c r="F16" s="38"/>
      <c r="G16" s="38"/>
      <c r="H16" s="38">
        <v>5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45">
        <f t="shared" si="0"/>
        <v>8</v>
      </c>
      <c r="T16" s="46">
        <f t="shared" si="10"/>
        <v>0.61538461538461542</v>
      </c>
      <c r="U16" s="39"/>
      <c r="V16" s="39"/>
      <c r="W16" s="39"/>
      <c r="X16" s="39"/>
      <c r="Y16" s="39"/>
      <c r="Z16" s="39"/>
      <c r="AA16" s="39"/>
      <c r="AB16" s="39">
        <v>1</v>
      </c>
      <c r="AC16" s="39"/>
      <c r="AD16" s="39"/>
      <c r="AE16" s="39"/>
      <c r="AF16" s="39"/>
      <c r="AG16" s="39"/>
      <c r="AH16" s="39"/>
      <c r="AI16" s="39"/>
      <c r="AJ16" s="47">
        <f t="shared" si="1"/>
        <v>1</v>
      </c>
      <c r="AK16" s="48">
        <f t="shared" si="2"/>
        <v>7.6923076923076927E-2</v>
      </c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>
        <f t="shared" si="3"/>
        <v>0</v>
      </c>
      <c r="BB16" s="50">
        <f t="shared" si="4"/>
        <v>0</v>
      </c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>
        <f t="shared" si="5"/>
        <v>0</v>
      </c>
      <c r="BS16" s="52">
        <f t="shared" si="6"/>
        <v>0</v>
      </c>
      <c r="BT16" s="43">
        <f t="shared" si="7"/>
        <v>9</v>
      </c>
      <c r="BU16" s="53">
        <f t="shared" si="8"/>
        <v>0.69230769230769229</v>
      </c>
    </row>
    <row r="17" spans="1:73" x14ac:dyDescent="0.25">
      <c r="A17" s="43">
        <v>12</v>
      </c>
      <c r="B17" s="44" t="s">
        <v>35</v>
      </c>
      <c r="C17" s="43">
        <v>91</v>
      </c>
      <c r="D17" s="38">
        <v>2</v>
      </c>
      <c r="E17" s="38">
        <v>1</v>
      </c>
      <c r="F17" s="38">
        <v>2</v>
      </c>
      <c r="G17" s="38"/>
      <c r="H17" s="38">
        <v>1</v>
      </c>
      <c r="I17" s="38"/>
      <c r="J17" s="38"/>
      <c r="K17" s="38"/>
      <c r="L17" s="38"/>
      <c r="M17" s="38"/>
      <c r="N17" s="38">
        <v>1</v>
      </c>
      <c r="O17" s="38"/>
      <c r="P17" s="38"/>
      <c r="Q17" s="38"/>
      <c r="R17" s="38">
        <v>1</v>
      </c>
      <c r="S17" s="45">
        <f t="shared" si="0"/>
        <v>8</v>
      </c>
      <c r="T17" s="46">
        <f t="shared" si="10"/>
        <v>8.7912087912087919E-2</v>
      </c>
      <c r="U17" s="39"/>
      <c r="V17" s="39"/>
      <c r="W17" s="39"/>
      <c r="X17" s="39"/>
      <c r="Y17" s="39"/>
      <c r="Z17" s="39">
        <v>2</v>
      </c>
      <c r="AA17" s="39"/>
      <c r="AB17" s="39"/>
      <c r="AC17" s="39">
        <v>1</v>
      </c>
      <c r="AD17" s="39"/>
      <c r="AE17" s="39">
        <v>1</v>
      </c>
      <c r="AF17" s="39"/>
      <c r="AG17" s="39"/>
      <c r="AH17" s="39"/>
      <c r="AI17" s="39"/>
      <c r="AJ17" s="47">
        <f t="shared" si="1"/>
        <v>4</v>
      </c>
      <c r="AK17" s="48">
        <f t="shared" si="2"/>
        <v>4.3956043956043959E-2</v>
      </c>
      <c r="AL17" s="49">
        <v>1</v>
      </c>
      <c r="AM17" s="49"/>
      <c r="AN17" s="49"/>
      <c r="AO17" s="49"/>
      <c r="AP17" s="49"/>
      <c r="AQ17" s="49"/>
      <c r="AR17" s="49"/>
      <c r="AS17" s="49"/>
      <c r="AT17" s="49">
        <v>1</v>
      </c>
      <c r="AU17" s="49"/>
      <c r="AV17" s="49"/>
      <c r="AW17" s="49"/>
      <c r="AX17" s="49"/>
      <c r="AY17" s="49"/>
      <c r="AZ17" s="49"/>
      <c r="BA17" s="49">
        <f t="shared" si="3"/>
        <v>2</v>
      </c>
      <c r="BB17" s="50">
        <f t="shared" si="4"/>
        <v>2.197802197802198E-2</v>
      </c>
      <c r="BC17" s="51"/>
      <c r="BD17" s="51"/>
      <c r="BE17" s="51"/>
      <c r="BF17" s="51"/>
      <c r="BG17" s="51"/>
      <c r="BH17" s="51">
        <v>1</v>
      </c>
      <c r="BI17" s="51"/>
      <c r="BJ17" s="51"/>
      <c r="BK17" s="51"/>
      <c r="BL17" s="51"/>
      <c r="BM17" s="51"/>
      <c r="BN17" s="51"/>
      <c r="BO17" s="51"/>
      <c r="BP17" s="51"/>
      <c r="BQ17" s="51"/>
      <c r="BR17" s="51">
        <f t="shared" si="5"/>
        <v>1</v>
      </c>
      <c r="BS17" s="52">
        <f t="shared" si="6"/>
        <v>1.098901098901099E-2</v>
      </c>
      <c r="BT17" s="43">
        <f t="shared" si="7"/>
        <v>15</v>
      </c>
      <c r="BU17" s="53">
        <f t="shared" si="8"/>
        <v>0.16483516483516483</v>
      </c>
    </row>
    <row r="18" spans="1:73" x14ac:dyDescent="0.25">
      <c r="A18" s="43">
        <v>13</v>
      </c>
      <c r="B18" s="44" t="s">
        <v>36</v>
      </c>
      <c r="C18" s="43">
        <v>60</v>
      </c>
      <c r="D18" s="38">
        <v>5</v>
      </c>
      <c r="E18" s="38">
        <v>2</v>
      </c>
      <c r="F18" s="38">
        <v>5</v>
      </c>
      <c r="G18" s="38"/>
      <c r="H18" s="38">
        <v>14</v>
      </c>
      <c r="I18" s="38"/>
      <c r="J18" s="38">
        <v>1</v>
      </c>
      <c r="K18" s="38"/>
      <c r="L18" s="38"/>
      <c r="M18" s="38"/>
      <c r="N18" s="38"/>
      <c r="O18" s="38"/>
      <c r="P18" s="38"/>
      <c r="Q18" s="38"/>
      <c r="R18" s="38"/>
      <c r="S18" s="45">
        <f t="shared" si="0"/>
        <v>27</v>
      </c>
      <c r="T18" s="46">
        <f t="shared" si="10"/>
        <v>0.45</v>
      </c>
      <c r="U18" s="39"/>
      <c r="V18" s="39"/>
      <c r="W18" s="39"/>
      <c r="X18" s="39"/>
      <c r="Y18" s="39"/>
      <c r="Z18" s="39"/>
      <c r="AA18" s="39"/>
      <c r="AB18" s="39"/>
      <c r="AC18" s="39"/>
      <c r="AD18" s="39">
        <v>1</v>
      </c>
      <c r="AE18" s="39"/>
      <c r="AF18" s="39"/>
      <c r="AG18" s="39"/>
      <c r="AH18" s="39"/>
      <c r="AI18" s="39"/>
      <c r="AJ18" s="47">
        <f t="shared" si="1"/>
        <v>1</v>
      </c>
      <c r="AK18" s="48">
        <f t="shared" si="2"/>
        <v>1.6666666666666666E-2</v>
      </c>
      <c r="AL18" s="49">
        <v>2</v>
      </c>
      <c r="AM18" s="49"/>
      <c r="AN18" s="49">
        <v>2</v>
      </c>
      <c r="AO18" s="49"/>
      <c r="AP18" s="49"/>
      <c r="AQ18" s="49">
        <v>1</v>
      </c>
      <c r="AR18" s="49"/>
      <c r="AS18" s="49">
        <v>1</v>
      </c>
      <c r="AT18" s="49"/>
      <c r="AU18" s="49"/>
      <c r="AV18" s="49"/>
      <c r="AW18" s="49"/>
      <c r="AX18" s="49"/>
      <c r="AY18" s="49">
        <v>1</v>
      </c>
      <c r="AZ18" s="49"/>
      <c r="BA18" s="49">
        <f t="shared" si="3"/>
        <v>7</v>
      </c>
      <c r="BB18" s="50">
        <f t="shared" si="4"/>
        <v>0.11666666666666667</v>
      </c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>
        <v>1</v>
      </c>
      <c r="BR18" s="51">
        <f t="shared" si="5"/>
        <v>1</v>
      </c>
      <c r="BS18" s="52">
        <f t="shared" si="6"/>
        <v>1.6666666666666666E-2</v>
      </c>
      <c r="BT18" s="43">
        <f t="shared" si="7"/>
        <v>36</v>
      </c>
      <c r="BU18" s="53">
        <f t="shared" si="8"/>
        <v>0.6</v>
      </c>
    </row>
    <row r="19" spans="1:73" s="11" customFormat="1" x14ac:dyDescent="0.25">
      <c r="A19" s="42">
        <v>14</v>
      </c>
      <c r="B19" s="54" t="s">
        <v>37</v>
      </c>
      <c r="C19" s="42">
        <v>54</v>
      </c>
      <c r="D19" s="38">
        <v>3</v>
      </c>
      <c r="E19" s="38"/>
      <c r="F19" s="38">
        <v>1</v>
      </c>
      <c r="G19" s="38"/>
      <c r="H19" s="38">
        <v>1</v>
      </c>
      <c r="I19" s="38"/>
      <c r="J19" s="38"/>
      <c r="K19" s="38">
        <v>2</v>
      </c>
      <c r="L19" s="38"/>
      <c r="M19" s="38">
        <v>2</v>
      </c>
      <c r="N19" s="38"/>
      <c r="O19" s="38"/>
      <c r="P19" s="38"/>
      <c r="Q19" s="38"/>
      <c r="R19" s="38">
        <v>1</v>
      </c>
      <c r="S19" s="38">
        <f t="shared" si="0"/>
        <v>10</v>
      </c>
      <c r="T19" s="55">
        <f t="shared" si="10"/>
        <v>0.18518518518518517</v>
      </c>
      <c r="U19" s="39">
        <v>1</v>
      </c>
      <c r="V19" s="39">
        <v>1</v>
      </c>
      <c r="W19" s="39"/>
      <c r="X19" s="39"/>
      <c r="Y19" s="39"/>
      <c r="Z19" s="39"/>
      <c r="AA19" s="39"/>
      <c r="AB19" s="39"/>
      <c r="AC19" s="39"/>
      <c r="AD19" s="39">
        <v>3</v>
      </c>
      <c r="AE19" s="39">
        <v>2</v>
      </c>
      <c r="AF19" s="39"/>
      <c r="AG19" s="39"/>
      <c r="AH19" s="39"/>
      <c r="AI19" s="39">
        <v>2</v>
      </c>
      <c r="AJ19" s="39">
        <f t="shared" si="1"/>
        <v>9</v>
      </c>
      <c r="AK19" s="56">
        <f>AJ19/C19*100%</f>
        <v>0.16666666666666666</v>
      </c>
      <c r="AL19" s="49">
        <v>1</v>
      </c>
      <c r="AM19" s="49"/>
      <c r="AN19" s="49"/>
      <c r="AO19" s="49"/>
      <c r="AP19" s="49">
        <v>3</v>
      </c>
      <c r="AQ19" s="49"/>
      <c r="AR19" s="49"/>
      <c r="AS19" s="49"/>
      <c r="AT19" s="49"/>
      <c r="AU19" s="49">
        <v>2</v>
      </c>
      <c r="AV19" s="49"/>
      <c r="AW19" s="49"/>
      <c r="AX19" s="49"/>
      <c r="AY19" s="49"/>
      <c r="AZ19" s="49"/>
      <c r="BA19" s="40">
        <f t="shared" si="3"/>
        <v>6</v>
      </c>
      <c r="BB19" s="57">
        <f t="shared" si="4"/>
        <v>0.1111111111111111</v>
      </c>
      <c r="BC19" s="41"/>
      <c r="BD19" s="41"/>
      <c r="BE19" s="51"/>
      <c r="BF19" s="51"/>
      <c r="BG19" s="41">
        <v>1</v>
      </c>
      <c r="BH19" s="41"/>
      <c r="BI19" s="41"/>
      <c r="BJ19" s="41"/>
      <c r="BK19" s="51"/>
      <c r="BL19" s="41"/>
      <c r="BM19" s="51"/>
      <c r="BN19" s="51"/>
      <c r="BO19" s="51"/>
      <c r="BP19" s="51"/>
      <c r="BQ19" s="41"/>
      <c r="BR19" s="41">
        <f t="shared" si="5"/>
        <v>1</v>
      </c>
      <c r="BS19" s="58">
        <f t="shared" si="6"/>
        <v>1.8518518518518517E-2</v>
      </c>
      <c r="BT19" s="42">
        <f t="shared" si="7"/>
        <v>26</v>
      </c>
      <c r="BU19" s="59">
        <f t="shared" si="8"/>
        <v>0.48148148148148145</v>
      </c>
    </row>
    <row r="20" spans="1:73" s="11" customFormat="1" ht="37.5" x14ac:dyDescent="0.25">
      <c r="A20" s="60"/>
      <c r="B20" s="61" t="s">
        <v>38</v>
      </c>
      <c r="C20" s="62">
        <f t="shared" ref="C20" si="11">SUM(C6:C19)</f>
        <v>959</v>
      </c>
      <c r="D20" s="42">
        <f>SUM(D6:D19)</f>
        <v>62</v>
      </c>
      <c r="E20" s="42">
        <f t="shared" ref="E20:R20" si="12">SUM(E6:E19)</f>
        <v>13</v>
      </c>
      <c r="F20" s="42">
        <f t="shared" si="12"/>
        <v>45</v>
      </c>
      <c r="G20" s="42">
        <f t="shared" si="12"/>
        <v>13</v>
      </c>
      <c r="H20" s="42">
        <f t="shared" si="12"/>
        <v>190</v>
      </c>
      <c r="I20" s="42">
        <f t="shared" si="12"/>
        <v>18</v>
      </c>
      <c r="J20" s="42">
        <f t="shared" si="12"/>
        <v>2</v>
      </c>
      <c r="K20" s="42">
        <f t="shared" si="12"/>
        <v>18</v>
      </c>
      <c r="L20" s="42">
        <f t="shared" si="12"/>
        <v>1</v>
      </c>
      <c r="M20" s="42">
        <f t="shared" si="12"/>
        <v>40</v>
      </c>
      <c r="N20" s="42">
        <f t="shared" si="12"/>
        <v>8</v>
      </c>
      <c r="O20" s="42">
        <f t="shared" si="12"/>
        <v>2</v>
      </c>
      <c r="P20" s="42">
        <f t="shared" si="12"/>
        <v>2</v>
      </c>
      <c r="Q20" s="42">
        <f t="shared" si="12"/>
        <v>3</v>
      </c>
      <c r="R20" s="42">
        <f t="shared" si="12"/>
        <v>36</v>
      </c>
      <c r="S20" s="42"/>
      <c r="T20" s="42"/>
      <c r="U20" s="42">
        <f>SUM(U6:U19)</f>
        <v>8</v>
      </c>
      <c r="V20" s="42">
        <f t="shared" ref="V20:AI20" si="13">SUM(V6:V19)</f>
        <v>1</v>
      </c>
      <c r="W20" s="42">
        <f t="shared" si="13"/>
        <v>0</v>
      </c>
      <c r="X20" s="42">
        <f t="shared" si="13"/>
        <v>0</v>
      </c>
      <c r="Y20" s="42">
        <f t="shared" si="13"/>
        <v>5</v>
      </c>
      <c r="Z20" s="42">
        <f t="shared" si="13"/>
        <v>7</v>
      </c>
      <c r="AA20" s="42">
        <f t="shared" si="13"/>
        <v>0</v>
      </c>
      <c r="AB20" s="42">
        <f t="shared" si="13"/>
        <v>1</v>
      </c>
      <c r="AC20" s="42">
        <f t="shared" si="13"/>
        <v>1</v>
      </c>
      <c r="AD20" s="42">
        <f t="shared" si="13"/>
        <v>14</v>
      </c>
      <c r="AE20" s="42">
        <f t="shared" si="13"/>
        <v>8</v>
      </c>
      <c r="AF20" s="42">
        <f t="shared" si="13"/>
        <v>2</v>
      </c>
      <c r="AG20" s="42">
        <f t="shared" si="13"/>
        <v>0</v>
      </c>
      <c r="AH20" s="42">
        <f t="shared" si="13"/>
        <v>0</v>
      </c>
      <c r="AI20" s="42">
        <f t="shared" si="13"/>
        <v>15</v>
      </c>
      <c r="AJ20" s="42"/>
      <c r="AK20" s="42"/>
      <c r="AL20" s="42">
        <f>SUM(AL6:AL19)</f>
        <v>9</v>
      </c>
      <c r="AM20" s="42">
        <f t="shared" ref="AM20:AZ20" si="14">SUM(AM6:AM19)</f>
        <v>1</v>
      </c>
      <c r="AN20" s="42">
        <f t="shared" si="14"/>
        <v>3</v>
      </c>
      <c r="AO20" s="42">
        <f t="shared" si="14"/>
        <v>2</v>
      </c>
      <c r="AP20" s="42">
        <f t="shared" si="14"/>
        <v>9</v>
      </c>
      <c r="AQ20" s="42">
        <f t="shared" si="14"/>
        <v>5</v>
      </c>
      <c r="AR20" s="42">
        <f t="shared" si="14"/>
        <v>1</v>
      </c>
      <c r="AS20" s="42">
        <f t="shared" si="14"/>
        <v>1</v>
      </c>
      <c r="AT20" s="42">
        <f t="shared" si="14"/>
        <v>1</v>
      </c>
      <c r="AU20" s="42">
        <f t="shared" si="14"/>
        <v>6</v>
      </c>
      <c r="AV20" s="42">
        <f t="shared" si="14"/>
        <v>8</v>
      </c>
      <c r="AW20" s="42">
        <f t="shared" si="14"/>
        <v>2</v>
      </c>
      <c r="AX20" s="42">
        <f t="shared" si="14"/>
        <v>0</v>
      </c>
      <c r="AY20" s="42">
        <f t="shared" si="14"/>
        <v>4</v>
      </c>
      <c r="AZ20" s="42">
        <f t="shared" si="14"/>
        <v>5</v>
      </c>
      <c r="BA20" s="42"/>
      <c r="BB20" s="42"/>
      <c r="BC20" s="42">
        <f>SUM(BC6:BC19)</f>
        <v>1</v>
      </c>
      <c r="BD20" s="42">
        <f t="shared" ref="BD20:BQ20" si="15">SUM(BD6:BD19)</f>
        <v>0</v>
      </c>
      <c r="BE20" s="42">
        <f t="shared" si="15"/>
        <v>1</v>
      </c>
      <c r="BF20" s="42">
        <f t="shared" si="15"/>
        <v>1</v>
      </c>
      <c r="BG20" s="42">
        <f t="shared" si="15"/>
        <v>2</v>
      </c>
      <c r="BH20" s="42">
        <f t="shared" si="15"/>
        <v>1</v>
      </c>
      <c r="BI20" s="42">
        <f t="shared" si="15"/>
        <v>0</v>
      </c>
      <c r="BJ20" s="42">
        <f t="shared" si="15"/>
        <v>0</v>
      </c>
      <c r="BK20" s="42">
        <f t="shared" si="15"/>
        <v>0</v>
      </c>
      <c r="BL20" s="42">
        <f t="shared" si="15"/>
        <v>2</v>
      </c>
      <c r="BM20" s="42">
        <f t="shared" si="15"/>
        <v>4</v>
      </c>
      <c r="BN20" s="42">
        <f t="shared" si="15"/>
        <v>0</v>
      </c>
      <c r="BO20" s="42">
        <f t="shared" si="15"/>
        <v>0</v>
      </c>
      <c r="BP20" s="42">
        <f t="shared" si="15"/>
        <v>0</v>
      </c>
      <c r="BQ20" s="42">
        <f t="shared" si="15"/>
        <v>5</v>
      </c>
      <c r="BR20" s="42"/>
      <c r="BS20" s="42"/>
      <c r="BT20" s="63">
        <f>SUM(BT6:BT19)</f>
        <v>589</v>
      </c>
      <c r="BU20" s="64">
        <f>BT20/C20*100%</f>
        <v>0.61418143899895727</v>
      </c>
    </row>
    <row r="21" spans="1:73" x14ac:dyDescent="0.25">
      <c r="N21" s="65"/>
      <c r="O21" s="65"/>
      <c r="S21" s="67"/>
      <c r="T21" s="67"/>
      <c r="AE21" s="65"/>
      <c r="AF21" s="65"/>
      <c r="AG21" s="65"/>
      <c r="AH21" s="65"/>
      <c r="AI21" s="65"/>
      <c r="BO21" s="2"/>
      <c r="BP21" s="2"/>
      <c r="BQ21" s="2"/>
      <c r="BR21" s="2"/>
      <c r="BS21" s="2"/>
    </row>
    <row r="22" spans="1:73" x14ac:dyDescent="0.25">
      <c r="B22" s="66"/>
      <c r="C22" s="66"/>
    </row>
    <row r="23" spans="1:73" ht="51" x14ac:dyDescent="0.25">
      <c r="B23" s="68" t="s">
        <v>39</v>
      </c>
      <c r="C23" s="68" t="s">
        <v>22</v>
      </c>
      <c r="D23" s="69" t="s">
        <v>40</v>
      </c>
      <c r="BT23" s="70"/>
    </row>
    <row r="24" spans="1:73" x14ac:dyDescent="0.25">
      <c r="B24" s="71" t="s">
        <v>41</v>
      </c>
      <c r="C24" s="68">
        <f>D20+I20+N20+U20+Z20+AE20+AL20+AQ20+AV20+BC20+BH20+BM20</f>
        <v>139</v>
      </c>
      <c r="D24" s="72">
        <f>C24/C20*100</f>
        <v>14.494264859228362</v>
      </c>
    </row>
    <row r="25" spans="1:73" x14ac:dyDescent="0.25">
      <c r="B25" s="71" t="s">
        <v>42</v>
      </c>
      <c r="C25" s="68">
        <f>E20+J20+O20+V20+AA20+AF20+AM20+AR20+AW20+BD20+BI20+BN20</f>
        <v>24</v>
      </c>
      <c r="D25" s="72">
        <f>C25/C20*100</f>
        <v>2.502606882168926</v>
      </c>
    </row>
    <row r="26" spans="1:73" x14ac:dyDescent="0.25">
      <c r="B26" s="71" t="s">
        <v>43</v>
      </c>
      <c r="C26" s="68">
        <f>F20+K20+P20+W20+AB20+AG20+AN20+AS20+AX20+BE20+BJ20+BO20</f>
        <v>71</v>
      </c>
      <c r="D26" s="72">
        <f>C26/C20*100</f>
        <v>7.4035453597497396</v>
      </c>
    </row>
    <row r="27" spans="1:73" x14ac:dyDescent="0.25">
      <c r="B27" s="71" t="s">
        <v>44</v>
      </c>
      <c r="C27" s="68">
        <f>G20+L20+Q20+X20+AC20+AH20+AO20+AT20+AY20+BF20+BK20+BP20</f>
        <v>26</v>
      </c>
      <c r="D27" s="72">
        <f>C27/C20*100</f>
        <v>2.7111574556830034</v>
      </c>
    </row>
    <row r="28" spans="1:73" x14ac:dyDescent="0.25">
      <c r="B28" s="71" t="s">
        <v>45</v>
      </c>
      <c r="C28" s="68">
        <f>H20+M20+R20+Y20+AD20+AI20+AP20+AU20+AZ20+BG20+BL20+BQ20</f>
        <v>329</v>
      </c>
      <c r="D28" s="72">
        <f>C28/C20*100</f>
        <v>34.306569343065696</v>
      </c>
    </row>
  </sheetData>
  <mergeCells count="38">
    <mergeCell ref="BH4:BL4"/>
    <mergeCell ref="BM4:BQ4"/>
    <mergeCell ref="B22:C22"/>
    <mergeCell ref="BH3:BL3"/>
    <mergeCell ref="BM3:BQ3"/>
    <mergeCell ref="BR3:BS4"/>
    <mergeCell ref="D4:H4"/>
    <mergeCell ref="I4:M4"/>
    <mergeCell ref="N4:R4"/>
    <mergeCell ref="U4:Y4"/>
    <mergeCell ref="Z4:AD4"/>
    <mergeCell ref="AE4:AI4"/>
    <mergeCell ref="AL4:AP4"/>
    <mergeCell ref="AJ3:AK4"/>
    <mergeCell ref="AL3:AP3"/>
    <mergeCell ref="AQ3:AU3"/>
    <mergeCell ref="AV3:AZ3"/>
    <mergeCell ref="BA3:BB4"/>
    <mergeCell ref="BC3:BG3"/>
    <mergeCell ref="AQ4:AU4"/>
    <mergeCell ref="AV4:AZ4"/>
    <mergeCell ref="BC4:BG4"/>
    <mergeCell ref="I3:M3"/>
    <mergeCell ref="N3:R3"/>
    <mergeCell ref="S3:T4"/>
    <mergeCell ref="U3:Y3"/>
    <mergeCell ref="Z3:AD3"/>
    <mergeCell ref="AE3:AI3"/>
    <mergeCell ref="A1:BU1"/>
    <mergeCell ref="A2:A5"/>
    <mergeCell ref="B2:B5"/>
    <mergeCell ref="C2:C5"/>
    <mergeCell ref="D2:T2"/>
    <mergeCell ref="U2:AK2"/>
    <mergeCell ref="AL2:BB2"/>
    <mergeCell ref="BC2:BS2"/>
    <mergeCell ref="BT2:BU4"/>
    <mergeCell ref="D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14DD-C08D-463C-AB8A-71B58796B4D3}">
  <dimension ref="A1:BU28"/>
  <sheetViews>
    <sheetView zoomScale="60" zoomScaleNormal="60" workbookViewId="0">
      <pane xSplit="1" topLeftCell="B1" activePane="topRight" state="frozen"/>
      <selection pane="topRight" activeCell="AJ27" sqref="AJ27"/>
    </sheetView>
  </sheetViews>
  <sheetFormatPr defaultColWidth="9.140625" defaultRowHeight="19.5" x14ac:dyDescent="0.25"/>
  <cols>
    <col min="1" max="1" width="5.140625" style="65" bestFit="1" customWidth="1"/>
    <col min="2" max="2" width="44.85546875" style="65" bestFit="1" customWidth="1"/>
    <col min="3" max="3" width="19.85546875" style="65" bestFit="1" customWidth="1"/>
    <col min="4" max="4" width="10.85546875" style="67" bestFit="1" customWidth="1"/>
    <col min="5" max="5" width="4.85546875" style="67" bestFit="1" customWidth="1"/>
    <col min="6" max="7" width="3.28515625" style="67" bestFit="1" customWidth="1"/>
    <col min="8" max="8" width="6.5703125" style="67" bestFit="1" customWidth="1"/>
    <col min="9" max="9" width="4.85546875" style="67" bestFit="1" customWidth="1"/>
    <col min="10" max="12" width="3.28515625" style="67" bestFit="1" customWidth="1"/>
    <col min="13" max="13" width="4.85546875" style="67" bestFit="1" customWidth="1"/>
    <col min="14" max="17" width="3.28515625" style="67" bestFit="1" customWidth="1"/>
    <col min="18" max="18" width="4.85546875" style="67" bestFit="1" customWidth="1"/>
    <col min="19" max="19" width="8.28515625" style="65" bestFit="1" customWidth="1"/>
    <col min="20" max="20" width="11.28515625" style="65" bestFit="1" customWidth="1"/>
    <col min="21" max="25" width="3.28515625" style="67" bestFit="1" customWidth="1"/>
    <col min="26" max="26" width="4.85546875" style="67" bestFit="1" customWidth="1"/>
    <col min="27" max="29" width="3.28515625" style="67" bestFit="1" customWidth="1"/>
    <col min="30" max="30" width="4.85546875" style="67" bestFit="1" customWidth="1"/>
    <col min="31" max="35" width="3.28515625" style="67" bestFit="1" customWidth="1"/>
    <col min="36" max="36" width="8.28515625" style="65" bestFit="1" customWidth="1"/>
    <col min="37" max="37" width="11.28515625" style="65" bestFit="1" customWidth="1"/>
    <col min="38" max="51" width="3.28515625" style="65" bestFit="1" customWidth="1"/>
    <col min="52" max="52" width="4.85546875" style="65" bestFit="1" customWidth="1"/>
    <col min="53" max="53" width="8.28515625" style="65" bestFit="1" customWidth="1"/>
    <col min="54" max="54" width="11.28515625" style="65" bestFit="1" customWidth="1"/>
    <col min="55" max="58" width="3.28515625" style="65" bestFit="1" customWidth="1"/>
    <col min="59" max="60" width="4.85546875" style="65" bestFit="1" customWidth="1"/>
    <col min="61" max="61" width="3.28515625" style="65" bestFit="1" customWidth="1"/>
    <col min="62" max="64" width="4.85546875" style="65" bestFit="1" customWidth="1"/>
    <col min="65" max="69" width="3.28515625" style="65" bestFit="1" customWidth="1"/>
    <col min="70" max="70" width="8.28515625" style="65" bestFit="1" customWidth="1"/>
    <col min="71" max="71" width="11.28515625" style="65" bestFit="1" customWidth="1"/>
    <col min="72" max="72" width="11.85546875" style="2" bestFit="1" customWidth="1"/>
    <col min="73" max="73" width="11.28515625" style="2" bestFit="1" customWidth="1"/>
    <col min="74" max="16384" width="9.140625" style="2"/>
  </cols>
  <sheetData>
    <row r="1" spans="1:73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s="11" customFormat="1" ht="20.25" customHeight="1" x14ac:dyDescent="0.25">
      <c r="A2" s="3" t="s">
        <v>0</v>
      </c>
      <c r="B2" s="3" t="s">
        <v>1</v>
      </c>
      <c r="C2" s="3" t="s">
        <v>2</v>
      </c>
      <c r="D2" s="4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 t="s">
        <v>4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 t="s">
        <v>5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9" t="s">
        <v>6</v>
      </c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10" t="s">
        <v>7</v>
      </c>
      <c r="BU2" s="10"/>
    </row>
    <row r="3" spans="1:73" s="11" customFormat="1" ht="18.75" customHeight="1" x14ac:dyDescent="0.25">
      <c r="A3" s="3"/>
      <c r="B3" s="3"/>
      <c r="C3" s="3"/>
      <c r="D3" s="12" t="s">
        <v>8</v>
      </c>
      <c r="E3" s="12"/>
      <c r="F3" s="12"/>
      <c r="G3" s="12"/>
      <c r="H3" s="12"/>
      <c r="I3" s="4" t="s">
        <v>9</v>
      </c>
      <c r="J3" s="5"/>
      <c r="K3" s="5"/>
      <c r="L3" s="5"/>
      <c r="M3" s="5"/>
      <c r="N3" s="4" t="s">
        <v>10</v>
      </c>
      <c r="O3" s="5"/>
      <c r="P3" s="5"/>
      <c r="Q3" s="5"/>
      <c r="R3" s="6"/>
      <c r="S3" s="13" t="s">
        <v>11</v>
      </c>
      <c r="T3" s="14"/>
      <c r="U3" s="7" t="s">
        <v>12</v>
      </c>
      <c r="V3" s="7"/>
      <c r="W3" s="7"/>
      <c r="X3" s="7"/>
      <c r="Y3" s="7"/>
      <c r="Z3" s="15" t="s">
        <v>13</v>
      </c>
      <c r="AA3" s="16"/>
      <c r="AB3" s="16"/>
      <c r="AC3" s="16"/>
      <c r="AD3" s="16"/>
      <c r="AE3" s="15" t="s">
        <v>14</v>
      </c>
      <c r="AF3" s="16"/>
      <c r="AG3" s="16"/>
      <c r="AH3" s="16"/>
      <c r="AI3" s="17"/>
      <c r="AJ3" s="18" t="s">
        <v>11</v>
      </c>
      <c r="AK3" s="19"/>
      <c r="AL3" s="8" t="s">
        <v>15</v>
      </c>
      <c r="AM3" s="8"/>
      <c r="AN3" s="8"/>
      <c r="AO3" s="8"/>
      <c r="AP3" s="8"/>
      <c r="AQ3" s="20" t="s">
        <v>16</v>
      </c>
      <c r="AR3" s="21"/>
      <c r="AS3" s="21"/>
      <c r="AT3" s="21"/>
      <c r="AU3" s="21"/>
      <c r="AV3" s="20" t="s">
        <v>17</v>
      </c>
      <c r="AW3" s="21"/>
      <c r="AX3" s="21"/>
      <c r="AY3" s="21"/>
      <c r="AZ3" s="22"/>
      <c r="BA3" s="23" t="s">
        <v>18</v>
      </c>
      <c r="BB3" s="24"/>
      <c r="BC3" s="9" t="s">
        <v>19</v>
      </c>
      <c r="BD3" s="9"/>
      <c r="BE3" s="9"/>
      <c r="BF3" s="9"/>
      <c r="BG3" s="9"/>
      <c r="BH3" s="25" t="s">
        <v>20</v>
      </c>
      <c r="BI3" s="26"/>
      <c r="BJ3" s="26"/>
      <c r="BK3" s="26"/>
      <c r="BL3" s="26"/>
      <c r="BM3" s="25" t="s">
        <v>21</v>
      </c>
      <c r="BN3" s="26"/>
      <c r="BO3" s="26"/>
      <c r="BP3" s="26"/>
      <c r="BQ3" s="27"/>
      <c r="BR3" s="28" t="s">
        <v>18</v>
      </c>
      <c r="BS3" s="29"/>
      <c r="BT3" s="10"/>
      <c r="BU3" s="10"/>
    </row>
    <row r="4" spans="1:73" s="11" customFormat="1" ht="47.25" customHeight="1" x14ac:dyDescent="0.25">
      <c r="A4" s="3"/>
      <c r="B4" s="3"/>
      <c r="C4" s="3"/>
      <c r="D4" s="12" t="s">
        <v>22</v>
      </c>
      <c r="E4" s="12"/>
      <c r="F4" s="12"/>
      <c r="G4" s="12"/>
      <c r="H4" s="12"/>
      <c r="I4" s="12" t="s">
        <v>22</v>
      </c>
      <c r="J4" s="12"/>
      <c r="K4" s="12"/>
      <c r="L4" s="12"/>
      <c r="M4" s="12"/>
      <c r="N4" s="12" t="s">
        <v>22</v>
      </c>
      <c r="O4" s="12"/>
      <c r="P4" s="12"/>
      <c r="Q4" s="12"/>
      <c r="R4" s="12"/>
      <c r="S4" s="30"/>
      <c r="T4" s="31"/>
      <c r="U4" s="7" t="s">
        <v>22</v>
      </c>
      <c r="V4" s="7"/>
      <c r="W4" s="7"/>
      <c r="X4" s="7"/>
      <c r="Y4" s="7"/>
      <c r="Z4" s="7" t="s">
        <v>22</v>
      </c>
      <c r="AA4" s="7"/>
      <c r="AB4" s="7"/>
      <c r="AC4" s="7"/>
      <c r="AD4" s="7"/>
      <c r="AE4" s="7" t="s">
        <v>22</v>
      </c>
      <c r="AF4" s="7"/>
      <c r="AG4" s="7"/>
      <c r="AH4" s="7"/>
      <c r="AI4" s="7"/>
      <c r="AJ4" s="32"/>
      <c r="AK4" s="33"/>
      <c r="AL4" s="8" t="s">
        <v>22</v>
      </c>
      <c r="AM4" s="8"/>
      <c r="AN4" s="8"/>
      <c r="AO4" s="8"/>
      <c r="AP4" s="8"/>
      <c r="AQ4" s="8" t="s">
        <v>22</v>
      </c>
      <c r="AR4" s="8"/>
      <c r="AS4" s="8"/>
      <c r="AT4" s="8"/>
      <c r="AU4" s="8"/>
      <c r="AV4" s="8" t="s">
        <v>22</v>
      </c>
      <c r="AW4" s="8"/>
      <c r="AX4" s="8"/>
      <c r="AY4" s="8"/>
      <c r="AZ4" s="8"/>
      <c r="BA4" s="34"/>
      <c r="BB4" s="35"/>
      <c r="BC4" s="9" t="s">
        <v>22</v>
      </c>
      <c r="BD4" s="9"/>
      <c r="BE4" s="9"/>
      <c r="BF4" s="9"/>
      <c r="BG4" s="9"/>
      <c r="BH4" s="9" t="s">
        <v>22</v>
      </c>
      <c r="BI4" s="9"/>
      <c r="BJ4" s="9"/>
      <c r="BK4" s="9"/>
      <c r="BL4" s="9"/>
      <c r="BM4" s="9" t="s">
        <v>22</v>
      </c>
      <c r="BN4" s="9"/>
      <c r="BO4" s="9"/>
      <c r="BP4" s="9"/>
      <c r="BQ4" s="9"/>
      <c r="BR4" s="36"/>
      <c r="BS4" s="37"/>
      <c r="BT4" s="10"/>
      <c r="BU4" s="10"/>
    </row>
    <row r="5" spans="1:73" s="11" customFormat="1" ht="21.75" customHeight="1" x14ac:dyDescent="0.25">
      <c r="A5" s="3"/>
      <c r="B5" s="3"/>
      <c r="C5" s="3"/>
      <c r="D5" s="38">
        <v>1</v>
      </c>
      <c r="E5" s="38">
        <v>2</v>
      </c>
      <c r="F5" s="38">
        <v>3</v>
      </c>
      <c r="G5" s="38">
        <v>4</v>
      </c>
      <c r="H5" s="38">
        <v>5</v>
      </c>
      <c r="I5" s="38">
        <v>1</v>
      </c>
      <c r="J5" s="38">
        <v>2</v>
      </c>
      <c r="K5" s="38">
        <v>3</v>
      </c>
      <c r="L5" s="38">
        <v>4</v>
      </c>
      <c r="M5" s="38">
        <v>5</v>
      </c>
      <c r="N5" s="38">
        <v>1</v>
      </c>
      <c r="O5" s="38">
        <v>2</v>
      </c>
      <c r="P5" s="38">
        <v>3</v>
      </c>
      <c r="Q5" s="38">
        <v>4</v>
      </c>
      <c r="R5" s="38">
        <v>5</v>
      </c>
      <c r="S5" s="38" t="s">
        <v>18</v>
      </c>
      <c r="T5" s="38" t="s">
        <v>23</v>
      </c>
      <c r="U5" s="39">
        <v>1</v>
      </c>
      <c r="V5" s="39">
        <v>2</v>
      </c>
      <c r="W5" s="39">
        <v>3</v>
      </c>
      <c r="X5" s="39">
        <v>4</v>
      </c>
      <c r="Y5" s="39">
        <v>5</v>
      </c>
      <c r="Z5" s="39">
        <v>1</v>
      </c>
      <c r="AA5" s="39">
        <v>2</v>
      </c>
      <c r="AB5" s="39">
        <v>3</v>
      </c>
      <c r="AC5" s="39">
        <v>4</v>
      </c>
      <c r="AD5" s="39">
        <v>5</v>
      </c>
      <c r="AE5" s="39">
        <v>1</v>
      </c>
      <c r="AF5" s="39">
        <v>2</v>
      </c>
      <c r="AG5" s="39">
        <v>3</v>
      </c>
      <c r="AH5" s="39">
        <v>4</v>
      </c>
      <c r="AI5" s="39">
        <v>5</v>
      </c>
      <c r="AJ5" s="39" t="s">
        <v>18</v>
      </c>
      <c r="AK5" s="39" t="s">
        <v>23</v>
      </c>
      <c r="AL5" s="40">
        <v>1</v>
      </c>
      <c r="AM5" s="40">
        <v>2</v>
      </c>
      <c r="AN5" s="40">
        <v>3</v>
      </c>
      <c r="AO5" s="40">
        <v>4</v>
      </c>
      <c r="AP5" s="40">
        <v>5</v>
      </c>
      <c r="AQ5" s="40">
        <v>1</v>
      </c>
      <c r="AR5" s="40">
        <v>2</v>
      </c>
      <c r="AS5" s="40">
        <v>3</v>
      </c>
      <c r="AT5" s="40">
        <v>4</v>
      </c>
      <c r="AU5" s="40">
        <v>5</v>
      </c>
      <c r="AV5" s="40">
        <v>1</v>
      </c>
      <c r="AW5" s="40">
        <v>2</v>
      </c>
      <c r="AX5" s="40">
        <v>3</v>
      </c>
      <c r="AY5" s="40">
        <v>4</v>
      </c>
      <c r="AZ5" s="40">
        <v>5</v>
      </c>
      <c r="BA5" s="40" t="s">
        <v>18</v>
      </c>
      <c r="BB5" s="40" t="s">
        <v>23</v>
      </c>
      <c r="BC5" s="41">
        <v>1</v>
      </c>
      <c r="BD5" s="41">
        <v>2</v>
      </c>
      <c r="BE5" s="41">
        <v>3</v>
      </c>
      <c r="BF5" s="41">
        <v>4</v>
      </c>
      <c r="BG5" s="41">
        <v>5</v>
      </c>
      <c r="BH5" s="41">
        <v>1</v>
      </c>
      <c r="BI5" s="41">
        <v>2</v>
      </c>
      <c r="BJ5" s="41">
        <v>3</v>
      </c>
      <c r="BK5" s="41">
        <v>4</v>
      </c>
      <c r="BL5" s="41">
        <v>5</v>
      </c>
      <c r="BM5" s="41">
        <v>1</v>
      </c>
      <c r="BN5" s="41">
        <v>2</v>
      </c>
      <c r="BO5" s="41">
        <v>3</v>
      </c>
      <c r="BP5" s="41">
        <v>4</v>
      </c>
      <c r="BQ5" s="41">
        <v>5</v>
      </c>
      <c r="BR5" s="41" t="s">
        <v>18</v>
      </c>
      <c r="BS5" s="41" t="s">
        <v>23</v>
      </c>
      <c r="BT5" s="42" t="s">
        <v>18</v>
      </c>
      <c r="BU5" s="42" t="s">
        <v>23</v>
      </c>
    </row>
    <row r="6" spans="1:73" x14ac:dyDescent="0.25">
      <c r="A6" s="43">
        <v>1</v>
      </c>
      <c r="B6" s="44" t="s">
        <v>24</v>
      </c>
      <c r="C6" s="43">
        <v>69</v>
      </c>
      <c r="D6" s="38">
        <v>1</v>
      </c>
      <c r="E6" s="38">
        <v>3</v>
      </c>
      <c r="F6" s="38">
        <v>1</v>
      </c>
      <c r="G6" s="38">
        <v>1</v>
      </c>
      <c r="H6" s="38">
        <v>44</v>
      </c>
      <c r="I6" s="38">
        <v>5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45">
        <f>SUM(D6:R6)</f>
        <v>55</v>
      </c>
      <c r="T6" s="46">
        <f>S6/C6*100%</f>
        <v>0.79710144927536231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47">
        <f>SUM(U6:AI6)</f>
        <v>0</v>
      </c>
      <c r="AK6" s="48">
        <f>AJ6/C6*100%</f>
        <v>0</v>
      </c>
      <c r="AL6" s="49">
        <v>0</v>
      </c>
      <c r="AM6" s="49">
        <v>0</v>
      </c>
      <c r="AN6" s="49">
        <v>0</v>
      </c>
      <c r="AO6" s="49">
        <v>0</v>
      </c>
      <c r="AP6" s="49">
        <v>0</v>
      </c>
      <c r="AQ6" s="49">
        <v>0</v>
      </c>
      <c r="AR6" s="49">
        <v>0</v>
      </c>
      <c r="AS6" s="49">
        <v>0</v>
      </c>
      <c r="AT6" s="49">
        <v>0</v>
      </c>
      <c r="AU6" s="49">
        <v>0</v>
      </c>
      <c r="AV6" s="49">
        <v>0</v>
      </c>
      <c r="AW6" s="49">
        <v>0</v>
      </c>
      <c r="AX6" s="49">
        <v>0</v>
      </c>
      <c r="AY6" s="49">
        <v>0</v>
      </c>
      <c r="AZ6" s="49">
        <v>0</v>
      </c>
      <c r="BA6" s="49">
        <f>SUM(AL6:AZ6)</f>
        <v>0</v>
      </c>
      <c r="BB6" s="50">
        <f>BA6/C6*100%</f>
        <v>0</v>
      </c>
      <c r="BC6" s="51">
        <v>0</v>
      </c>
      <c r="BD6" s="51">
        <v>0</v>
      </c>
      <c r="BE6" s="51">
        <v>0</v>
      </c>
      <c r="BF6" s="51">
        <v>0</v>
      </c>
      <c r="BG6" s="51">
        <v>0</v>
      </c>
      <c r="BH6" s="51">
        <v>2</v>
      </c>
      <c r="BI6" s="51">
        <v>0</v>
      </c>
      <c r="BJ6" s="51">
        <v>0</v>
      </c>
      <c r="BK6" s="51">
        <v>0</v>
      </c>
      <c r="BL6" s="51">
        <v>0</v>
      </c>
      <c r="BM6" s="51">
        <v>0</v>
      </c>
      <c r="BN6" s="51">
        <v>0</v>
      </c>
      <c r="BO6" s="51">
        <v>0</v>
      </c>
      <c r="BP6" s="51">
        <v>0</v>
      </c>
      <c r="BQ6" s="51">
        <v>0</v>
      </c>
      <c r="BR6" s="51">
        <f>SUM(BC6:BQ6)</f>
        <v>2</v>
      </c>
      <c r="BS6" s="52">
        <f>BR6/C6*100%</f>
        <v>2.8985507246376812E-2</v>
      </c>
      <c r="BT6" s="43">
        <f>SUM(S6,AJ6,BA6,BR6)</f>
        <v>57</v>
      </c>
      <c r="BU6" s="53">
        <f>BT6/C6*100%</f>
        <v>0.82608695652173914</v>
      </c>
    </row>
    <row r="7" spans="1:73" x14ac:dyDescent="0.25">
      <c r="A7" s="43">
        <v>2</v>
      </c>
      <c r="B7" s="44" t="s">
        <v>25</v>
      </c>
      <c r="C7" s="43">
        <v>73</v>
      </c>
      <c r="D7" s="38">
        <v>2</v>
      </c>
      <c r="E7" s="38">
        <v>4</v>
      </c>
      <c r="F7" s="38">
        <v>2</v>
      </c>
      <c r="G7" s="38">
        <v>0</v>
      </c>
      <c r="H7" s="38">
        <v>38</v>
      </c>
      <c r="I7" s="38">
        <v>3</v>
      </c>
      <c r="J7" s="38">
        <v>0</v>
      </c>
      <c r="K7" s="38">
        <v>0</v>
      </c>
      <c r="L7" s="38">
        <v>0</v>
      </c>
      <c r="M7" s="38">
        <v>8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45">
        <f t="shared" ref="S7:S19" si="0">SUM(D7:R7)</f>
        <v>57</v>
      </c>
      <c r="T7" s="46">
        <f>S7/C7*100%</f>
        <v>0.78082191780821919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4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47">
        <f t="shared" ref="AJ7:AJ19" si="1">SUM(U7:AI7)</f>
        <v>4</v>
      </c>
      <c r="AK7" s="48">
        <f t="shared" ref="AK7:AK18" si="2">AJ7/C7*100%</f>
        <v>5.4794520547945202E-2</v>
      </c>
      <c r="AL7" s="49">
        <v>0</v>
      </c>
      <c r="AM7" s="49">
        <v>0</v>
      </c>
      <c r="AN7" s="49">
        <v>0</v>
      </c>
      <c r="AO7" s="49">
        <v>0</v>
      </c>
      <c r="AP7" s="49">
        <v>0</v>
      </c>
      <c r="AQ7" s="49">
        <v>0</v>
      </c>
      <c r="AR7" s="49">
        <v>0</v>
      </c>
      <c r="AS7" s="49">
        <v>0</v>
      </c>
      <c r="AT7" s="49">
        <v>0</v>
      </c>
      <c r="AU7" s="49">
        <v>0</v>
      </c>
      <c r="AV7" s="49">
        <v>0</v>
      </c>
      <c r="AW7" s="49">
        <v>0</v>
      </c>
      <c r="AX7" s="49">
        <v>0</v>
      </c>
      <c r="AY7" s="49">
        <v>0</v>
      </c>
      <c r="AZ7" s="49">
        <v>0</v>
      </c>
      <c r="BA7" s="49">
        <f t="shared" ref="BA7:BA19" si="3">SUM(AL7:AZ7)</f>
        <v>0</v>
      </c>
      <c r="BB7" s="50">
        <f t="shared" ref="BB7:BB19" si="4">BA7/C7*100%</f>
        <v>0</v>
      </c>
      <c r="BC7" s="51">
        <v>0</v>
      </c>
      <c r="BD7" s="51">
        <v>0</v>
      </c>
      <c r="BE7" s="51">
        <v>0</v>
      </c>
      <c r="BF7" s="51">
        <v>0</v>
      </c>
      <c r="BG7" s="51">
        <v>0</v>
      </c>
      <c r="BH7" s="51">
        <v>3</v>
      </c>
      <c r="BI7" s="51">
        <v>1</v>
      </c>
      <c r="BJ7" s="51">
        <v>2</v>
      </c>
      <c r="BK7" s="51">
        <v>0</v>
      </c>
      <c r="BL7" s="51">
        <v>3</v>
      </c>
      <c r="BM7" s="51">
        <v>0</v>
      </c>
      <c r="BN7" s="51">
        <v>0</v>
      </c>
      <c r="BO7" s="51">
        <v>0</v>
      </c>
      <c r="BP7" s="51">
        <v>0</v>
      </c>
      <c r="BQ7" s="51">
        <v>0</v>
      </c>
      <c r="BR7" s="51">
        <f t="shared" ref="BR7:BR19" si="5">SUM(BC7:BQ7)</f>
        <v>9</v>
      </c>
      <c r="BS7" s="52">
        <f t="shared" ref="BS7:BS19" si="6">BR7/C7*100%</f>
        <v>0.12328767123287671</v>
      </c>
      <c r="BT7" s="43">
        <f t="shared" ref="BT7:BT19" si="7">SUM(S7,AJ7,BA7,BR7)</f>
        <v>70</v>
      </c>
      <c r="BU7" s="53">
        <f t="shared" ref="BU7:BU19" si="8">BT7/C7*100%</f>
        <v>0.95890410958904104</v>
      </c>
    </row>
    <row r="8" spans="1:73" x14ac:dyDescent="0.25">
      <c r="A8" s="43">
        <v>3</v>
      </c>
      <c r="B8" s="44" t="s">
        <v>26</v>
      </c>
      <c r="C8" s="43">
        <v>39</v>
      </c>
      <c r="D8" s="38">
        <v>2</v>
      </c>
      <c r="E8" s="38">
        <v>1</v>
      </c>
      <c r="F8" s="38">
        <v>0</v>
      </c>
      <c r="G8" s="38">
        <v>0</v>
      </c>
      <c r="H8" s="38">
        <v>19</v>
      </c>
      <c r="I8" s="38">
        <v>0</v>
      </c>
      <c r="J8" s="38">
        <v>0</v>
      </c>
      <c r="K8" s="38">
        <v>1</v>
      </c>
      <c r="L8" s="38">
        <v>0</v>
      </c>
      <c r="M8" s="38">
        <v>4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45">
        <f t="shared" si="0"/>
        <v>27</v>
      </c>
      <c r="T8" s="46">
        <f t="shared" ref="T8:T9" si="9">S8/C8*100%</f>
        <v>0.69230769230769229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1</v>
      </c>
      <c r="AA8" s="39">
        <v>0</v>
      </c>
      <c r="AB8" s="39">
        <v>0</v>
      </c>
      <c r="AC8" s="39">
        <v>0</v>
      </c>
      <c r="AD8" s="39">
        <v>1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47">
        <f t="shared" si="1"/>
        <v>2</v>
      </c>
      <c r="AK8" s="48">
        <f t="shared" si="2"/>
        <v>5.128205128205128E-2</v>
      </c>
      <c r="AL8" s="49">
        <v>1</v>
      </c>
      <c r="AM8" s="49">
        <v>0</v>
      </c>
      <c r="AN8" s="49">
        <v>0</v>
      </c>
      <c r="AO8" s="49">
        <v>0</v>
      </c>
      <c r="AP8" s="49">
        <v>0</v>
      </c>
      <c r="AQ8" s="49">
        <v>0</v>
      </c>
      <c r="AR8" s="49">
        <v>0</v>
      </c>
      <c r="AS8" s="49">
        <v>0</v>
      </c>
      <c r="AT8" s="49">
        <v>0</v>
      </c>
      <c r="AU8" s="49">
        <v>1</v>
      </c>
      <c r="AV8" s="49">
        <v>1</v>
      </c>
      <c r="AW8" s="49">
        <v>0</v>
      </c>
      <c r="AX8" s="49">
        <v>0</v>
      </c>
      <c r="AY8" s="49">
        <v>0</v>
      </c>
      <c r="AZ8" s="49">
        <v>1</v>
      </c>
      <c r="BA8" s="49">
        <f t="shared" si="3"/>
        <v>4</v>
      </c>
      <c r="BB8" s="50">
        <f t="shared" si="4"/>
        <v>0.10256410256410256</v>
      </c>
      <c r="BC8" s="51">
        <v>2</v>
      </c>
      <c r="BD8" s="51">
        <v>0</v>
      </c>
      <c r="BE8" s="51">
        <v>1</v>
      </c>
      <c r="BF8" s="51">
        <v>0</v>
      </c>
      <c r="BG8" s="51">
        <v>7</v>
      </c>
      <c r="BH8" s="51">
        <v>5</v>
      </c>
      <c r="BI8" s="51">
        <v>0</v>
      </c>
      <c r="BJ8" s="51">
        <v>4</v>
      </c>
      <c r="BK8" s="51">
        <v>0</v>
      </c>
      <c r="BL8" s="51">
        <v>4</v>
      </c>
      <c r="BM8" s="51">
        <v>0</v>
      </c>
      <c r="BN8" s="51">
        <v>0</v>
      </c>
      <c r="BO8" s="51">
        <v>0</v>
      </c>
      <c r="BP8" s="51">
        <v>0</v>
      </c>
      <c r="BQ8" s="51">
        <v>0</v>
      </c>
      <c r="BR8" s="51">
        <f t="shared" si="5"/>
        <v>23</v>
      </c>
      <c r="BS8" s="52">
        <f t="shared" si="6"/>
        <v>0.58974358974358976</v>
      </c>
      <c r="BT8" s="43">
        <f t="shared" si="7"/>
        <v>56</v>
      </c>
      <c r="BU8" s="53">
        <f t="shared" si="8"/>
        <v>1.4358974358974359</v>
      </c>
    </row>
    <row r="9" spans="1:73" x14ac:dyDescent="0.25">
      <c r="A9" s="43">
        <v>4</v>
      </c>
      <c r="B9" s="44" t="s">
        <v>27</v>
      </c>
      <c r="C9" s="43">
        <v>71</v>
      </c>
      <c r="D9" s="38">
        <v>2</v>
      </c>
      <c r="E9" s="38">
        <v>0</v>
      </c>
      <c r="F9" s="38">
        <v>0</v>
      </c>
      <c r="G9" s="38">
        <v>0</v>
      </c>
      <c r="H9" s="38">
        <v>6</v>
      </c>
      <c r="I9" s="38">
        <v>0</v>
      </c>
      <c r="J9" s="38">
        <v>0</v>
      </c>
      <c r="K9" s="38">
        <v>0</v>
      </c>
      <c r="L9" s="38">
        <v>0</v>
      </c>
      <c r="M9" s="38">
        <v>11</v>
      </c>
      <c r="N9" s="38">
        <v>7</v>
      </c>
      <c r="O9" s="38">
        <v>1</v>
      </c>
      <c r="P9" s="38">
        <v>0</v>
      </c>
      <c r="Q9" s="38">
        <v>0</v>
      </c>
      <c r="R9" s="38">
        <v>13</v>
      </c>
      <c r="S9" s="45">
        <f t="shared" si="0"/>
        <v>40</v>
      </c>
      <c r="T9" s="46">
        <f t="shared" si="9"/>
        <v>0.56338028169014087</v>
      </c>
      <c r="U9" s="39">
        <v>0</v>
      </c>
      <c r="V9" s="39">
        <v>0</v>
      </c>
      <c r="W9" s="39">
        <v>1</v>
      </c>
      <c r="X9" s="39">
        <v>0</v>
      </c>
      <c r="Y9" s="39">
        <v>0</v>
      </c>
      <c r="Z9" s="39">
        <v>2</v>
      </c>
      <c r="AA9" s="39">
        <v>0</v>
      </c>
      <c r="AB9" s="39">
        <v>1</v>
      </c>
      <c r="AC9" s="39">
        <v>0</v>
      </c>
      <c r="AD9" s="39">
        <v>2</v>
      </c>
      <c r="AE9" s="39">
        <v>0</v>
      </c>
      <c r="AF9" s="39">
        <v>0</v>
      </c>
      <c r="AG9" s="39">
        <v>0</v>
      </c>
      <c r="AH9" s="39">
        <v>0</v>
      </c>
      <c r="AI9" s="39">
        <v>1</v>
      </c>
      <c r="AJ9" s="47">
        <f t="shared" si="1"/>
        <v>7</v>
      </c>
      <c r="AK9" s="48">
        <f t="shared" si="2"/>
        <v>9.8591549295774641E-2</v>
      </c>
      <c r="AL9" s="49">
        <v>0</v>
      </c>
      <c r="AM9" s="49">
        <v>0</v>
      </c>
      <c r="AN9" s="49">
        <v>0</v>
      </c>
      <c r="AO9" s="49">
        <v>0</v>
      </c>
      <c r="AP9" s="49">
        <v>0</v>
      </c>
      <c r="AQ9" s="49">
        <v>1</v>
      </c>
      <c r="AR9" s="49">
        <v>0</v>
      </c>
      <c r="AS9" s="49">
        <v>0</v>
      </c>
      <c r="AT9" s="49">
        <v>0</v>
      </c>
      <c r="AU9" s="49">
        <v>1</v>
      </c>
      <c r="AV9" s="49">
        <v>1</v>
      </c>
      <c r="AW9" s="49">
        <v>0</v>
      </c>
      <c r="AX9" s="49">
        <v>1</v>
      </c>
      <c r="AY9" s="49">
        <v>0</v>
      </c>
      <c r="AZ9" s="49">
        <v>6</v>
      </c>
      <c r="BA9" s="49">
        <f t="shared" si="3"/>
        <v>10</v>
      </c>
      <c r="BB9" s="50">
        <f t="shared" si="4"/>
        <v>0.14084507042253522</v>
      </c>
      <c r="BC9" s="51">
        <v>0</v>
      </c>
      <c r="BD9" s="51">
        <v>0</v>
      </c>
      <c r="BE9" s="51">
        <v>0</v>
      </c>
      <c r="BF9" s="51">
        <v>0</v>
      </c>
      <c r="BG9" s="51">
        <v>0</v>
      </c>
      <c r="BH9" s="51">
        <v>2</v>
      </c>
      <c r="BI9" s="51">
        <v>1</v>
      </c>
      <c r="BJ9" s="51">
        <v>0</v>
      </c>
      <c r="BK9" s="51">
        <v>0</v>
      </c>
      <c r="BL9" s="51">
        <v>2</v>
      </c>
      <c r="BM9" s="51">
        <v>0</v>
      </c>
      <c r="BN9" s="51">
        <v>0</v>
      </c>
      <c r="BO9" s="51">
        <v>0</v>
      </c>
      <c r="BP9" s="51">
        <v>0</v>
      </c>
      <c r="BQ9" s="51">
        <v>0</v>
      </c>
      <c r="BR9" s="51">
        <f t="shared" si="5"/>
        <v>5</v>
      </c>
      <c r="BS9" s="52">
        <f t="shared" si="6"/>
        <v>7.0422535211267609E-2</v>
      </c>
      <c r="BT9" s="43">
        <f t="shared" si="7"/>
        <v>62</v>
      </c>
      <c r="BU9" s="53">
        <f t="shared" si="8"/>
        <v>0.87323943661971826</v>
      </c>
    </row>
    <row r="10" spans="1:73" x14ac:dyDescent="0.25">
      <c r="A10" s="43">
        <v>5</v>
      </c>
      <c r="B10" s="44" t="s">
        <v>28</v>
      </c>
      <c r="C10" s="43">
        <v>43</v>
      </c>
      <c r="D10" s="38">
        <v>1</v>
      </c>
      <c r="E10" s="38">
        <v>3</v>
      </c>
      <c r="F10" s="38">
        <v>0</v>
      </c>
      <c r="G10" s="38">
        <v>0</v>
      </c>
      <c r="H10" s="38">
        <v>21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45">
        <f t="shared" si="0"/>
        <v>25</v>
      </c>
      <c r="T10" s="46">
        <f>S10/C10*100%</f>
        <v>0.58139534883720934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2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47">
        <f t="shared" si="1"/>
        <v>2</v>
      </c>
      <c r="AK10" s="48">
        <f t="shared" si="2"/>
        <v>4.6511627906976744E-2</v>
      </c>
      <c r="AL10" s="49">
        <v>0</v>
      </c>
      <c r="AM10" s="49">
        <v>0</v>
      </c>
      <c r="AN10" s="49">
        <v>0</v>
      </c>
      <c r="AO10" s="49">
        <v>0</v>
      </c>
      <c r="AP10" s="49">
        <v>0</v>
      </c>
      <c r="AQ10" s="49">
        <v>0</v>
      </c>
      <c r="AR10" s="49">
        <v>0</v>
      </c>
      <c r="AS10" s="49">
        <v>0</v>
      </c>
      <c r="AT10" s="49">
        <v>0</v>
      </c>
      <c r="AU10" s="49">
        <v>0</v>
      </c>
      <c r="AV10" s="49">
        <v>0</v>
      </c>
      <c r="AW10" s="49">
        <v>0</v>
      </c>
      <c r="AX10" s="49">
        <v>0</v>
      </c>
      <c r="AY10" s="49">
        <v>0</v>
      </c>
      <c r="AZ10" s="49">
        <v>0</v>
      </c>
      <c r="BA10" s="49">
        <f t="shared" si="3"/>
        <v>0</v>
      </c>
      <c r="BB10" s="50">
        <f t="shared" si="4"/>
        <v>0</v>
      </c>
      <c r="BC10" s="51">
        <v>0</v>
      </c>
      <c r="BD10" s="51">
        <v>0</v>
      </c>
      <c r="BE10" s="51">
        <v>0</v>
      </c>
      <c r="BF10" s="51">
        <v>0</v>
      </c>
      <c r="BG10" s="51">
        <v>0</v>
      </c>
      <c r="BH10" s="51">
        <v>0</v>
      </c>
      <c r="BI10" s="51">
        <v>0</v>
      </c>
      <c r="BJ10" s="51">
        <v>0</v>
      </c>
      <c r="BK10" s="51">
        <v>12</v>
      </c>
      <c r="BL10" s="51">
        <v>0</v>
      </c>
      <c r="BM10" s="51">
        <v>0</v>
      </c>
      <c r="BN10" s="51">
        <v>0</v>
      </c>
      <c r="BO10" s="51">
        <v>0</v>
      </c>
      <c r="BP10" s="51">
        <v>0</v>
      </c>
      <c r="BQ10" s="51">
        <v>0</v>
      </c>
      <c r="BR10" s="51">
        <f t="shared" si="5"/>
        <v>12</v>
      </c>
      <c r="BS10" s="52">
        <f t="shared" si="6"/>
        <v>0.27906976744186046</v>
      </c>
      <c r="BT10" s="43">
        <f t="shared" si="7"/>
        <v>39</v>
      </c>
      <c r="BU10" s="53">
        <f t="shared" si="8"/>
        <v>0.90697674418604646</v>
      </c>
    </row>
    <row r="11" spans="1:73" s="11" customFormat="1" x14ac:dyDescent="0.25">
      <c r="A11" s="42">
        <v>6</v>
      </c>
      <c r="B11" s="54" t="s">
        <v>29</v>
      </c>
      <c r="C11" s="42">
        <v>82</v>
      </c>
      <c r="D11" s="38">
        <v>2</v>
      </c>
      <c r="E11" s="38">
        <v>2</v>
      </c>
      <c r="F11" s="38">
        <v>0</v>
      </c>
      <c r="G11" s="38">
        <v>0</v>
      </c>
      <c r="H11" s="38">
        <v>70</v>
      </c>
      <c r="I11" s="38">
        <v>0</v>
      </c>
      <c r="J11" s="38">
        <v>0</v>
      </c>
      <c r="K11" s="38">
        <v>0</v>
      </c>
      <c r="L11" s="38">
        <v>0</v>
      </c>
      <c r="M11" s="38">
        <v>1</v>
      </c>
      <c r="N11" s="38">
        <v>0</v>
      </c>
      <c r="O11" s="38">
        <v>0</v>
      </c>
      <c r="P11" s="38">
        <v>0</v>
      </c>
      <c r="Q11" s="38">
        <v>0</v>
      </c>
      <c r="R11" s="38">
        <v>1</v>
      </c>
      <c r="S11" s="38">
        <f t="shared" si="0"/>
        <v>76</v>
      </c>
      <c r="T11" s="55">
        <f t="shared" ref="T11:T19" si="10">S11/C11*100%</f>
        <v>0.92682926829268297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>
        <v>0</v>
      </c>
      <c r="AJ11" s="39">
        <f t="shared" si="1"/>
        <v>0</v>
      </c>
      <c r="AK11" s="56">
        <f t="shared" si="2"/>
        <v>0</v>
      </c>
      <c r="AL11" s="49">
        <v>0</v>
      </c>
      <c r="AM11" s="49">
        <v>0</v>
      </c>
      <c r="AN11" s="49">
        <v>0</v>
      </c>
      <c r="AO11" s="49">
        <v>0</v>
      </c>
      <c r="AP11" s="49">
        <v>0</v>
      </c>
      <c r="AQ11" s="49">
        <v>0</v>
      </c>
      <c r="AR11" s="49">
        <v>0</v>
      </c>
      <c r="AS11" s="49">
        <v>0</v>
      </c>
      <c r="AT11" s="49">
        <v>0</v>
      </c>
      <c r="AU11" s="49">
        <v>0</v>
      </c>
      <c r="AV11" s="49">
        <v>0</v>
      </c>
      <c r="AW11" s="49">
        <v>0</v>
      </c>
      <c r="AX11" s="49">
        <v>0</v>
      </c>
      <c r="AY11" s="49">
        <v>0</v>
      </c>
      <c r="AZ11" s="49">
        <v>0</v>
      </c>
      <c r="BA11" s="40">
        <f t="shared" si="3"/>
        <v>0</v>
      </c>
      <c r="BB11" s="57">
        <f t="shared" si="4"/>
        <v>0</v>
      </c>
      <c r="BC11" s="41">
        <v>0</v>
      </c>
      <c r="BD11" s="51">
        <v>0</v>
      </c>
      <c r="BE11" s="51">
        <v>0</v>
      </c>
      <c r="BF11" s="51">
        <v>0</v>
      </c>
      <c r="BG11" s="41">
        <v>0</v>
      </c>
      <c r="BH11" s="41">
        <v>2</v>
      </c>
      <c r="BI11" s="41">
        <v>0</v>
      </c>
      <c r="BJ11" s="51">
        <v>1</v>
      </c>
      <c r="BK11" s="51">
        <v>0</v>
      </c>
      <c r="BL11" s="41">
        <v>1</v>
      </c>
      <c r="BM11" s="51">
        <v>0</v>
      </c>
      <c r="BN11" s="51">
        <v>0</v>
      </c>
      <c r="BO11" s="51">
        <v>0</v>
      </c>
      <c r="BP11" s="51">
        <v>0</v>
      </c>
      <c r="BQ11" s="51">
        <v>0</v>
      </c>
      <c r="BR11" s="41">
        <f t="shared" si="5"/>
        <v>4</v>
      </c>
      <c r="BS11" s="58">
        <f t="shared" si="6"/>
        <v>4.878048780487805E-2</v>
      </c>
      <c r="BT11" s="42">
        <f t="shared" si="7"/>
        <v>80</v>
      </c>
      <c r="BU11" s="59">
        <f t="shared" si="8"/>
        <v>0.97560975609756095</v>
      </c>
    </row>
    <row r="12" spans="1:73" x14ac:dyDescent="0.25">
      <c r="A12" s="43">
        <v>7</v>
      </c>
      <c r="B12" s="44" t="s">
        <v>30</v>
      </c>
      <c r="C12" s="43">
        <v>75</v>
      </c>
      <c r="D12" s="38">
        <v>0</v>
      </c>
      <c r="E12" s="38">
        <v>3</v>
      </c>
      <c r="F12" s="38">
        <v>0</v>
      </c>
      <c r="G12" s="38">
        <v>0</v>
      </c>
      <c r="H12" s="38">
        <v>38</v>
      </c>
      <c r="I12" s="38">
        <v>1</v>
      </c>
      <c r="J12" s="38">
        <v>0</v>
      </c>
      <c r="K12" s="38">
        <v>0</v>
      </c>
      <c r="L12" s="38">
        <v>0</v>
      </c>
      <c r="M12" s="38">
        <v>5</v>
      </c>
      <c r="N12" s="38">
        <v>1</v>
      </c>
      <c r="O12" s="38">
        <v>0</v>
      </c>
      <c r="P12" s="38">
        <v>0</v>
      </c>
      <c r="Q12" s="38">
        <v>0</v>
      </c>
      <c r="R12" s="38">
        <v>2</v>
      </c>
      <c r="S12" s="45">
        <f t="shared" si="0"/>
        <v>50</v>
      </c>
      <c r="T12" s="46">
        <f t="shared" si="10"/>
        <v>0.66666666666666663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v>0</v>
      </c>
      <c r="AI12" s="39">
        <v>0</v>
      </c>
      <c r="AJ12" s="47">
        <f t="shared" si="1"/>
        <v>0</v>
      </c>
      <c r="AK12" s="48">
        <f t="shared" si="2"/>
        <v>0</v>
      </c>
      <c r="AL12" s="49">
        <v>0</v>
      </c>
      <c r="AM12" s="49">
        <v>0</v>
      </c>
      <c r="AN12" s="49">
        <v>0</v>
      </c>
      <c r="AO12" s="49">
        <v>0</v>
      </c>
      <c r="AP12" s="49">
        <v>0</v>
      </c>
      <c r="AQ12" s="49">
        <v>0</v>
      </c>
      <c r="AR12" s="49">
        <v>0</v>
      </c>
      <c r="AS12" s="49">
        <v>0</v>
      </c>
      <c r="AT12" s="49">
        <v>0</v>
      </c>
      <c r="AU12" s="49">
        <v>0</v>
      </c>
      <c r="AV12" s="49">
        <v>0</v>
      </c>
      <c r="AW12" s="49">
        <v>0</v>
      </c>
      <c r="AX12" s="49">
        <v>0</v>
      </c>
      <c r="AY12" s="49">
        <v>0</v>
      </c>
      <c r="AZ12" s="49">
        <v>2</v>
      </c>
      <c r="BA12" s="49">
        <f t="shared" si="3"/>
        <v>2</v>
      </c>
      <c r="BB12" s="50">
        <f t="shared" si="4"/>
        <v>2.6666666666666668E-2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7</v>
      </c>
      <c r="BI12" s="51">
        <v>2</v>
      </c>
      <c r="BJ12" s="51">
        <v>6</v>
      </c>
      <c r="BK12" s="51">
        <v>0</v>
      </c>
      <c r="BL12" s="51">
        <v>6</v>
      </c>
      <c r="BM12" s="51">
        <v>0</v>
      </c>
      <c r="BN12" s="51">
        <v>0</v>
      </c>
      <c r="BO12" s="51">
        <v>0</v>
      </c>
      <c r="BP12" s="51">
        <v>0</v>
      </c>
      <c r="BQ12" s="51">
        <v>0</v>
      </c>
      <c r="BR12" s="51">
        <f t="shared" si="5"/>
        <v>21</v>
      </c>
      <c r="BS12" s="52">
        <f t="shared" si="6"/>
        <v>0.28000000000000003</v>
      </c>
      <c r="BT12" s="43">
        <f t="shared" si="7"/>
        <v>73</v>
      </c>
      <c r="BU12" s="53">
        <f t="shared" si="8"/>
        <v>0.97333333333333338</v>
      </c>
    </row>
    <row r="13" spans="1:73" x14ac:dyDescent="0.25">
      <c r="A13" s="43">
        <v>8</v>
      </c>
      <c r="B13" s="44" t="s">
        <v>31</v>
      </c>
      <c r="C13" s="43">
        <v>88</v>
      </c>
      <c r="D13" s="38">
        <v>4</v>
      </c>
      <c r="E13" s="38">
        <v>2</v>
      </c>
      <c r="F13" s="38">
        <v>1</v>
      </c>
      <c r="G13" s="38">
        <v>0</v>
      </c>
      <c r="H13" s="38">
        <v>45</v>
      </c>
      <c r="I13" s="38">
        <v>0</v>
      </c>
      <c r="J13" s="38">
        <v>0</v>
      </c>
      <c r="K13" s="38">
        <v>0</v>
      </c>
      <c r="L13" s="38">
        <v>0</v>
      </c>
      <c r="M13" s="38">
        <v>1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45">
        <f t="shared" si="0"/>
        <v>53</v>
      </c>
      <c r="T13" s="46">
        <f t="shared" si="10"/>
        <v>0.60227272727272729</v>
      </c>
      <c r="U13" s="39">
        <v>0</v>
      </c>
      <c r="V13" s="39">
        <v>0</v>
      </c>
      <c r="W13" s="39">
        <v>0</v>
      </c>
      <c r="X13" s="39">
        <v>0</v>
      </c>
      <c r="Y13" s="39">
        <v>2</v>
      </c>
      <c r="Z13" s="39">
        <v>0</v>
      </c>
      <c r="AA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  <c r="AH13" s="39">
        <v>0</v>
      </c>
      <c r="AI13" s="39">
        <v>1</v>
      </c>
      <c r="AJ13" s="47">
        <f t="shared" si="1"/>
        <v>3</v>
      </c>
      <c r="AK13" s="48">
        <f t="shared" si="2"/>
        <v>3.4090909090909088E-2</v>
      </c>
      <c r="AL13" s="49">
        <v>0</v>
      </c>
      <c r="AM13" s="49">
        <v>0</v>
      </c>
      <c r="AN13" s="49">
        <v>0</v>
      </c>
      <c r="AO13" s="49">
        <v>0</v>
      </c>
      <c r="AP13" s="49">
        <v>2</v>
      </c>
      <c r="AQ13" s="49">
        <v>2</v>
      </c>
      <c r="AR13" s="49">
        <v>0</v>
      </c>
      <c r="AS13" s="49">
        <v>0</v>
      </c>
      <c r="AT13" s="49">
        <v>0</v>
      </c>
      <c r="AU13" s="49">
        <v>0</v>
      </c>
      <c r="AV13" s="49">
        <v>0</v>
      </c>
      <c r="AW13" s="49">
        <v>0</v>
      </c>
      <c r="AX13" s="49">
        <v>0</v>
      </c>
      <c r="AY13" s="49">
        <v>0</v>
      </c>
      <c r="AZ13" s="49">
        <v>1</v>
      </c>
      <c r="BA13" s="49">
        <f>SUM(AL13:AZ13)</f>
        <v>5</v>
      </c>
      <c r="BB13" s="50">
        <f t="shared" si="4"/>
        <v>5.6818181818181816E-2</v>
      </c>
      <c r="BC13" s="51">
        <v>0</v>
      </c>
      <c r="BD13" s="51">
        <v>1</v>
      </c>
      <c r="BE13" s="51">
        <v>0</v>
      </c>
      <c r="BF13" s="51">
        <v>0</v>
      </c>
      <c r="BG13" s="51">
        <v>0</v>
      </c>
      <c r="BH13" s="51">
        <v>4</v>
      </c>
      <c r="BI13" s="51">
        <v>0</v>
      </c>
      <c r="BJ13" s="51">
        <v>0</v>
      </c>
      <c r="BK13" s="51">
        <v>0</v>
      </c>
      <c r="BL13" s="51">
        <v>0</v>
      </c>
      <c r="BM13" s="51">
        <v>0</v>
      </c>
      <c r="BN13" s="51">
        <v>0</v>
      </c>
      <c r="BO13" s="51">
        <v>0</v>
      </c>
      <c r="BP13" s="51">
        <v>0</v>
      </c>
      <c r="BQ13" s="51">
        <v>0</v>
      </c>
      <c r="BR13" s="51">
        <f t="shared" si="5"/>
        <v>5</v>
      </c>
      <c r="BS13" s="52">
        <f t="shared" si="6"/>
        <v>5.6818181818181816E-2</v>
      </c>
      <c r="BT13" s="43">
        <f t="shared" si="7"/>
        <v>66</v>
      </c>
      <c r="BU13" s="53">
        <f t="shared" si="8"/>
        <v>0.75</v>
      </c>
    </row>
    <row r="14" spans="1:73" x14ac:dyDescent="0.25">
      <c r="A14" s="43">
        <v>9</v>
      </c>
      <c r="B14" s="44" t="s">
        <v>32</v>
      </c>
      <c r="C14" s="43">
        <v>77</v>
      </c>
      <c r="D14" s="38">
        <v>3</v>
      </c>
      <c r="E14" s="38">
        <v>1</v>
      </c>
      <c r="F14" s="38">
        <v>1</v>
      </c>
      <c r="G14" s="38">
        <v>0</v>
      </c>
      <c r="H14" s="38">
        <v>48</v>
      </c>
      <c r="I14" s="38">
        <v>2</v>
      </c>
      <c r="J14" s="38">
        <v>0</v>
      </c>
      <c r="K14" s="38">
        <v>0</v>
      </c>
      <c r="L14" s="38">
        <v>0</v>
      </c>
      <c r="M14" s="38">
        <v>2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45">
        <f t="shared" si="0"/>
        <v>57</v>
      </c>
      <c r="T14" s="46">
        <f t="shared" si="10"/>
        <v>0.74025974025974028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39">
        <v>0</v>
      </c>
      <c r="AA14" s="39">
        <v>0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  <c r="AG14" s="39">
        <v>0</v>
      </c>
      <c r="AH14" s="39">
        <v>0</v>
      </c>
      <c r="AI14" s="39">
        <v>1</v>
      </c>
      <c r="AJ14" s="47">
        <f t="shared" si="1"/>
        <v>1</v>
      </c>
      <c r="AK14" s="48">
        <f t="shared" si="2"/>
        <v>1.2987012987012988E-2</v>
      </c>
      <c r="AL14" s="49">
        <v>0</v>
      </c>
      <c r="AM14" s="49">
        <v>0</v>
      </c>
      <c r="AN14" s="49">
        <v>0</v>
      </c>
      <c r="AO14" s="49">
        <v>0</v>
      </c>
      <c r="AP14" s="49">
        <v>0</v>
      </c>
      <c r="AQ14" s="49">
        <v>0</v>
      </c>
      <c r="AR14" s="49">
        <v>0</v>
      </c>
      <c r="AS14" s="49">
        <v>0</v>
      </c>
      <c r="AT14" s="49">
        <v>0</v>
      </c>
      <c r="AU14" s="49">
        <v>0</v>
      </c>
      <c r="AV14" s="49">
        <v>1</v>
      </c>
      <c r="AW14" s="49">
        <v>0</v>
      </c>
      <c r="AX14" s="49">
        <v>0</v>
      </c>
      <c r="AY14" s="49">
        <v>0</v>
      </c>
      <c r="AZ14" s="49">
        <v>0</v>
      </c>
      <c r="BA14" s="49">
        <f t="shared" si="3"/>
        <v>1</v>
      </c>
      <c r="BB14" s="50">
        <f t="shared" si="4"/>
        <v>1.2987012987012988E-2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3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f t="shared" si="5"/>
        <v>3</v>
      </c>
      <c r="BS14" s="52">
        <f t="shared" si="6"/>
        <v>3.896103896103896E-2</v>
      </c>
      <c r="BT14" s="43">
        <f t="shared" si="7"/>
        <v>62</v>
      </c>
      <c r="BU14" s="53">
        <f t="shared" si="8"/>
        <v>0.80519480519480524</v>
      </c>
    </row>
    <row r="15" spans="1:73" x14ac:dyDescent="0.25">
      <c r="A15" s="43">
        <v>10</v>
      </c>
      <c r="B15" s="44" t="s">
        <v>33</v>
      </c>
      <c r="C15" s="43">
        <v>82</v>
      </c>
      <c r="D15" s="38">
        <v>5</v>
      </c>
      <c r="E15" s="38">
        <v>4</v>
      </c>
      <c r="F15" s="38">
        <v>0</v>
      </c>
      <c r="G15" s="38">
        <v>0</v>
      </c>
      <c r="H15" s="38">
        <v>49</v>
      </c>
      <c r="I15" s="38">
        <v>1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45">
        <f t="shared" si="0"/>
        <v>59</v>
      </c>
      <c r="T15" s="46">
        <f t="shared" si="10"/>
        <v>0.71951219512195119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39">
        <v>7</v>
      </c>
      <c r="AA15" s="39">
        <v>0</v>
      </c>
      <c r="AB15" s="39">
        <v>0</v>
      </c>
      <c r="AC15" s="39">
        <v>0</v>
      </c>
      <c r="AD15" s="39">
        <v>1</v>
      </c>
      <c r="AE15" s="39">
        <v>0</v>
      </c>
      <c r="AF15" s="39">
        <v>0</v>
      </c>
      <c r="AG15" s="39">
        <v>0</v>
      </c>
      <c r="AH15" s="39">
        <v>0</v>
      </c>
      <c r="AI15" s="39">
        <v>2</v>
      </c>
      <c r="AJ15" s="47">
        <f t="shared" si="1"/>
        <v>10</v>
      </c>
      <c r="AK15" s="48">
        <f t="shared" si="2"/>
        <v>0.12195121951219512</v>
      </c>
      <c r="AL15" s="49">
        <v>0</v>
      </c>
      <c r="AM15" s="49">
        <v>0</v>
      </c>
      <c r="AN15" s="49">
        <v>0</v>
      </c>
      <c r="AO15" s="49">
        <v>0</v>
      </c>
      <c r="AP15" s="49">
        <v>0</v>
      </c>
      <c r="AQ15" s="49">
        <v>1</v>
      </c>
      <c r="AR15" s="49">
        <v>0</v>
      </c>
      <c r="AS15" s="49">
        <v>0</v>
      </c>
      <c r="AT15" s="49">
        <v>0</v>
      </c>
      <c r="AU15" s="49">
        <v>0</v>
      </c>
      <c r="AV15" s="49">
        <v>1</v>
      </c>
      <c r="AW15" s="49">
        <v>0</v>
      </c>
      <c r="AX15" s="49">
        <v>0</v>
      </c>
      <c r="AY15" s="49">
        <v>0</v>
      </c>
      <c r="AZ15" s="49">
        <v>0</v>
      </c>
      <c r="BA15" s="49">
        <f t="shared" si="3"/>
        <v>2</v>
      </c>
      <c r="BB15" s="50">
        <f t="shared" si="4"/>
        <v>2.4390243902439025E-2</v>
      </c>
      <c r="BC15" s="51">
        <v>1</v>
      </c>
      <c r="BD15" s="51">
        <v>0</v>
      </c>
      <c r="BE15" s="51">
        <v>0</v>
      </c>
      <c r="BF15" s="51">
        <v>0</v>
      </c>
      <c r="BG15" s="51">
        <v>0</v>
      </c>
      <c r="BH15" s="51">
        <v>1</v>
      </c>
      <c r="BI15" s="51">
        <v>0</v>
      </c>
      <c r="BJ15" s="51">
        <v>0</v>
      </c>
      <c r="BK15" s="51">
        <v>0</v>
      </c>
      <c r="BL15" s="51">
        <v>1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f t="shared" si="5"/>
        <v>3</v>
      </c>
      <c r="BS15" s="52">
        <f t="shared" si="6"/>
        <v>3.6585365853658534E-2</v>
      </c>
      <c r="BT15" s="43">
        <f t="shared" si="7"/>
        <v>74</v>
      </c>
      <c r="BU15" s="53">
        <f t="shared" si="8"/>
        <v>0.90243902439024393</v>
      </c>
    </row>
    <row r="16" spans="1:73" x14ac:dyDescent="0.25">
      <c r="A16" s="43">
        <v>11</v>
      </c>
      <c r="B16" s="44" t="s">
        <v>34</v>
      </c>
      <c r="C16" s="43">
        <v>46</v>
      </c>
      <c r="D16" s="38">
        <v>1</v>
      </c>
      <c r="E16" s="38">
        <v>0</v>
      </c>
      <c r="F16" s="38">
        <v>0</v>
      </c>
      <c r="G16" s="38">
        <v>0</v>
      </c>
      <c r="H16" s="38">
        <v>1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45">
        <f t="shared" si="0"/>
        <v>2</v>
      </c>
      <c r="T16" s="46">
        <f t="shared" si="10"/>
        <v>4.3478260869565216E-2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  <c r="AD16" s="39">
        <v>1</v>
      </c>
      <c r="AE16" s="39">
        <v>0</v>
      </c>
      <c r="AF16" s="39">
        <v>0</v>
      </c>
      <c r="AG16" s="39">
        <v>0</v>
      </c>
      <c r="AH16" s="39">
        <v>0</v>
      </c>
      <c r="AI16" s="39">
        <v>0</v>
      </c>
      <c r="AJ16" s="47">
        <f t="shared" si="1"/>
        <v>1</v>
      </c>
      <c r="AK16" s="48">
        <f t="shared" si="2"/>
        <v>2.1739130434782608E-2</v>
      </c>
      <c r="AL16" s="49">
        <v>0</v>
      </c>
      <c r="AM16" s="49">
        <v>0</v>
      </c>
      <c r="AN16" s="49">
        <v>0</v>
      </c>
      <c r="AO16" s="49">
        <v>0</v>
      </c>
      <c r="AP16" s="49">
        <v>0</v>
      </c>
      <c r="AQ16" s="49">
        <v>0</v>
      </c>
      <c r="AR16" s="49">
        <v>0</v>
      </c>
      <c r="AS16" s="49">
        <v>0</v>
      </c>
      <c r="AT16" s="49">
        <v>0</v>
      </c>
      <c r="AU16" s="49">
        <v>0</v>
      </c>
      <c r="AV16" s="49">
        <v>0</v>
      </c>
      <c r="AW16" s="49">
        <v>0</v>
      </c>
      <c r="AX16" s="49">
        <v>0</v>
      </c>
      <c r="AY16" s="49">
        <v>0</v>
      </c>
      <c r="AZ16" s="49">
        <v>0</v>
      </c>
      <c r="BA16" s="49">
        <f t="shared" si="3"/>
        <v>0</v>
      </c>
      <c r="BB16" s="50">
        <f t="shared" si="4"/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12</v>
      </c>
      <c r="BI16" s="51">
        <v>1</v>
      </c>
      <c r="BJ16" s="51">
        <v>4</v>
      </c>
      <c r="BK16" s="51">
        <v>0</v>
      </c>
      <c r="BL16" s="51">
        <v>5</v>
      </c>
      <c r="BM16" s="51">
        <v>1</v>
      </c>
      <c r="BN16" s="51">
        <v>0</v>
      </c>
      <c r="BO16" s="51">
        <v>0</v>
      </c>
      <c r="BP16" s="51">
        <v>0</v>
      </c>
      <c r="BQ16" s="51">
        <v>1</v>
      </c>
      <c r="BR16" s="51">
        <f t="shared" si="5"/>
        <v>24</v>
      </c>
      <c r="BS16" s="52">
        <f t="shared" si="6"/>
        <v>0.52173913043478259</v>
      </c>
      <c r="BT16" s="43">
        <f t="shared" si="7"/>
        <v>27</v>
      </c>
      <c r="BU16" s="53">
        <f t="shared" si="8"/>
        <v>0.58695652173913049</v>
      </c>
    </row>
    <row r="17" spans="1:73" x14ac:dyDescent="0.25">
      <c r="A17" s="43">
        <v>12</v>
      </c>
      <c r="B17" s="44" t="s">
        <v>35</v>
      </c>
      <c r="C17" s="43">
        <v>86</v>
      </c>
      <c r="D17" s="38">
        <v>1</v>
      </c>
      <c r="E17" s="38">
        <v>0</v>
      </c>
      <c r="F17" s="38">
        <v>0</v>
      </c>
      <c r="G17" s="38">
        <v>0</v>
      </c>
      <c r="H17" s="38">
        <v>0</v>
      </c>
      <c r="I17" s="38">
        <v>1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45">
        <f t="shared" si="0"/>
        <v>2</v>
      </c>
      <c r="T17" s="46">
        <f t="shared" si="10"/>
        <v>2.3255813953488372E-2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1</v>
      </c>
      <c r="AA17" s="39">
        <v>0</v>
      </c>
      <c r="AB17" s="39">
        <v>0</v>
      </c>
      <c r="AC17" s="39">
        <v>0</v>
      </c>
      <c r="AD17" s="39">
        <v>1</v>
      </c>
      <c r="AE17" s="39">
        <v>0</v>
      </c>
      <c r="AF17" s="39">
        <v>0</v>
      </c>
      <c r="AG17" s="39">
        <v>0</v>
      </c>
      <c r="AH17" s="39">
        <v>0</v>
      </c>
      <c r="AI17" s="39">
        <v>0</v>
      </c>
      <c r="AJ17" s="47">
        <f t="shared" si="1"/>
        <v>2</v>
      </c>
      <c r="AK17" s="48">
        <f t="shared" si="2"/>
        <v>2.3255813953488372E-2</v>
      </c>
      <c r="AL17" s="49">
        <v>0</v>
      </c>
      <c r="AM17" s="49">
        <v>0</v>
      </c>
      <c r="AN17" s="49">
        <v>0</v>
      </c>
      <c r="AO17" s="49">
        <v>0</v>
      </c>
      <c r="AP17" s="49">
        <v>0</v>
      </c>
      <c r="AQ17" s="49">
        <v>0</v>
      </c>
      <c r="AR17" s="49">
        <v>0</v>
      </c>
      <c r="AS17" s="49">
        <v>0</v>
      </c>
      <c r="AT17" s="49">
        <v>0</v>
      </c>
      <c r="AU17" s="49">
        <v>0</v>
      </c>
      <c r="AV17" s="49">
        <v>0</v>
      </c>
      <c r="AW17" s="49">
        <v>0</v>
      </c>
      <c r="AX17" s="49">
        <v>0</v>
      </c>
      <c r="AY17" s="49">
        <v>0</v>
      </c>
      <c r="AZ17" s="49">
        <v>0</v>
      </c>
      <c r="BA17" s="49">
        <f t="shared" si="3"/>
        <v>0</v>
      </c>
      <c r="BB17" s="50">
        <f t="shared" si="4"/>
        <v>0</v>
      </c>
      <c r="BC17" s="51">
        <v>2</v>
      </c>
      <c r="BD17" s="51">
        <v>0</v>
      </c>
      <c r="BE17" s="51">
        <v>0</v>
      </c>
      <c r="BF17" s="51">
        <v>0</v>
      </c>
      <c r="BG17" s="51">
        <v>0</v>
      </c>
      <c r="BH17" s="51">
        <v>24</v>
      </c>
      <c r="BI17" s="51">
        <v>2</v>
      </c>
      <c r="BJ17" s="51">
        <v>9</v>
      </c>
      <c r="BK17" s="51">
        <v>0</v>
      </c>
      <c r="BL17" s="51">
        <v>17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f t="shared" si="5"/>
        <v>54</v>
      </c>
      <c r="BS17" s="52">
        <f t="shared" si="6"/>
        <v>0.62790697674418605</v>
      </c>
      <c r="BT17" s="43">
        <f t="shared" si="7"/>
        <v>58</v>
      </c>
      <c r="BU17" s="53">
        <f t="shared" si="8"/>
        <v>0.67441860465116277</v>
      </c>
    </row>
    <row r="18" spans="1:73" x14ac:dyDescent="0.25">
      <c r="A18" s="43">
        <v>13</v>
      </c>
      <c r="B18" s="44" t="s">
        <v>36</v>
      </c>
      <c r="C18" s="43">
        <v>77</v>
      </c>
      <c r="D18" s="38">
        <v>2</v>
      </c>
      <c r="E18" s="38">
        <v>1</v>
      </c>
      <c r="F18" s="38">
        <v>1</v>
      </c>
      <c r="G18" s="38">
        <v>0</v>
      </c>
      <c r="H18" s="38">
        <v>6</v>
      </c>
      <c r="I18" s="38">
        <v>1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45">
        <f t="shared" si="0"/>
        <v>11</v>
      </c>
      <c r="T18" s="46">
        <f t="shared" si="10"/>
        <v>0.14285714285714285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9">
        <v>0</v>
      </c>
      <c r="AJ18" s="47">
        <f t="shared" si="1"/>
        <v>0</v>
      </c>
      <c r="AK18" s="48">
        <f t="shared" si="2"/>
        <v>0</v>
      </c>
      <c r="AL18" s="49">
        <v>0</v>
      </c>
      <c r="AM18" s="49">
        <v>0</v>
      </c>
      <c r="AN18" s="49">
        <v>0</v>
      </c>
      <c r="AO18" s="49">
        <v>0</v>
      </c>
      <c r="AP18" s="49">
        <v>0</v>
      </c>
      <c r="AQ18" s="49">
        <v>0</v>
      </c>
      <c r="AR18" s="49">
        <v>0</v>
      </c>
      <c r="AS18" s="49">
        <v>0</v>
      </c>
      <c r="AT18" s="49">
        <v>0</v>
      </c>
      <c r="AU18" s="49">
        <v>0</v>
      </c>
      <c r="AV18" s="49">
        <v>1</v>
      </c>
      <c r="AW18" s="49">
        <v>0</v>
      </c>
      <c r="AX18" s="49">
        <v>1</v>
      </c>
      <c r="AY18" s="49">
        <v>0</v>
      </c>
      <c r="AZ18" s="49">
        <v>0</v>
      </c>
      <c r="BA18" s="49">
        <f t="shared" si="3"/>
        <v>2</v>
      </c>
      <c r="BB18" s="50">
        <f t="shared" si="4"/>
        <v>2.5974025974025976E-2</v>
      </c>
      <c r="BC18" s="51">
        <v>4</v>
      </c>
      <c r="BD18" s="51">
        <v>0</v>
      </c>
      <c r="BE18" s="51">
        <v>0</v>
      </c>
      <c r="BF18" s="51">
        <v>0</v>
      </c>
      <c r="BG18" s="51">
        <v>3</v>
      </c>
      <c r="BH18" s="51">
        <v>21</v>
      </c>
      <c r="BI18" s="51">
        <v>0</v>
      </c>
      <c r="BJ18" s="51">
        <v>8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f t="shared" si="5"/>
        <v>36</v>
      </c>
      <c r="BS18" s="52">
        <f t="shared" si="6"/>
        <v>0.46753246753246752</v>
      </c>
      <c r="BT18" s="43">
        <f t="shared" si="7"/>
        <v>49</v>
      </c>
      <c r="BU18" s="53">
        <f t="shared" si="8"/>
        <v>0.63636363636363635</v>
      </c>
    </row>
    <row r="19" spans="1:73" s="11" customFormat="1" x14ac:dyDescent="0.25">
      <c r="A19" s="42">
        <v>14</v>
      </c>
      <c r="B19" s="54" t="s">
        <v>37</v>
      </c>
      <c r="C19" s="42">
        <v>50</v>
      </c>
      <c r="D19" s="38">
        <v>0</v>
      </c>
      <c r="E19" s="38">
        <v>0</v>
      </c>
      <c r="F19" s="38">
        <v>0</v>
      </c>
      <c r="G19" s="38">
        <v>0</v>
      </c>
      <c r="H19" s="38">
        <v>4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f t="shared" si="0"/>
        <v>4</v>
      </c>
      <c r="T19" s="55">
        <f t="shared" si="10"/>
        <v>0.08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  <c r="AG19" s="39">
        <v>0</v>
      </c>
      <c r="AH19" s="39">
        <v>0</v>
      </c>
      <c r="AI19" s="39">
        <v>0</v>
      </c>
      <c r="AJ19" s="39">
        <f t="shared" si="1"/>
        <v>0</v>
      </c>
      <c r="AK19" s="56">
        <f>AJ19/C19*100%</f>
        <v>0</v>
      </c>
      <c r="AL19" s="49">
        <v>0</v>
      </c>
      <c r="AM19" s="49">
        <v>0</v>
      </c>
      <c r="AN19" s="49">
        <v>0</v>
      </c>
      <c r="AO19" s="49">
        <v>0</v>
      </c>
      <c r="AP19" s="49">
        <v>0</v>
      </c>
      <c r="AQ19" s="49">
        <v>0</v>
      </c>
      <c r="AR19" s="49">
        <v>0</v>
      </c>
      <c r="AS19" s="49">
        <v>0</v>
      </c>
      <c r="AT19" s="49">
        <v>0</v>
      </c>
      <c r="AU19" s="49">
        <v>0</v>
      </c>
      <c r="AV19" s="49">
        <v>2</v>
      </c>
      <c r="AW19" s="49">
        <v>0</v>
      </c>
      <c r="AX19" s="49">
        <v>0</v>
      </c>
      <c r="AY19" s="49">
        <v>0</v>
      </c>
      <c r="AZ19" s="49">
        <v>1</v>
      </c>
      <c r="BA19" s="40">
        <f t="shared" si="3"/>
        <v>3</v>
      </c>
      <c r="BB19" s="57">
        <f t="shared" si="4"/>
        <v>0.06</v>
      </c>
      <c r="BC19" s="41">
        <v>0</v>
      </c>
      <c r="BD19" s="41">
        <v>0</v>
      </c>
      <c r="BE19" s="51">
        <v>0</v>
      </c>
      <c r="BF19" s="51">
        <v>0</v>
      </c>
      <c r="BG19" s="41">
        <v>0</v>
      </c>
      <c r="BH19" s="41">
        <v>3</v>
      </c>
      <c r="BI19" s="41">
        <v>2</v>
      </c>
      <c r="BJ19" s="41">
        <v>3</v>
      </c>
      <c r="BK19" s="51">
        <v>0</v>
      </c>
      <c r="BL19" s="41">
        <v>4</v>
      </c>
      <c r="BM19" s="51">
        <v>0</v>
      </c>
      <c r="BN19" s="51">
        <v>0</v>
      </c>
      <c r="BO19" s="51">
        <v>0</v>
      </c>
      <c r="BP19" s="51">
        <v>0</v>
      </c>
      <c r="BQ19" s="41">
        <v>1</v>
      </c>
      <c r="BR19" s="41">
        <f t="shared" si="5"/>
        <v>13</v>
      </c>
      <c r="BS19" s="58">
        <f t="shared" si="6"/>
        <v>0.26</v>
      </c>
      <c r="BT19" s="42">
        <f t="shared" si="7"/>
        <v>20</v>
      </c>
      <c r="BU19" s="59">
        <f t="shared" si="8"/>
        <v>0.4</v>
      </c>
    </row>
    <row r="20" spans="1:73" s="11" customFormat="1" ht="37.5" x14ac:dyDescent="0.25">
      <c r="A20" s="60"/>
      <c r="B20" s="61" t="s">
        <v>38</v>
      </c>
      <c r="C20" s="62">
        <f t="shared" ref="C20" si="11">SUM(C6:C19)</f>
        <v>958</v>
      </c>
      <c r="D20" s="42">
        <f>SUM(D6:D19)</f>
        <v>26</v>
      </c>
      <c r="E20" s="42">
        <f t="shared" ref="E20:R20" si="12">SUM(E6:E19)</f>
        <v>24</v>
      </c>
      <c r="F20" s="42">
        <f t="shared" si="12"/>
        <v>6</v>
      </c>
      <c r="G20" s="42">
        <f t="shared" si="12"/>
        <v>1</v>
      </c>
      <c r="H20" s="42">
        <f t="shared" si="12"/>
        <v>389</v>
      </c>
      <c r="I20" s="42">
        <f t="shared" si="12"/>
        <v>14</v>
      </c>
      <c r="J20" s="42">
        <f t="shared" si="12"/>
        <v>0</v>
      </c>
      <c r="K20" s="42">
        <f t="shared" si="12"/>
        <v>1</v>
      </c>
      <c r="L20" s="42">
        <f t="shared" si="12"/>
        <v>0</v>
      </c>
      <c r="M20" s="42">
        <f t="shared" si="12"/>
        <v>32</v>
      </c>
      <c r="N20" s="42">
        <f t="shared" si="12"/>
        <v>8</v>
      </c>
      <c r="O20" s="42">
        <f t="shared" si="12"/>
        <v>1</v>
      </c>
      <c r="P20" s="42">
        <f t="shared" si="12"/>
        <v>0</v>
      </c>
      <c r="Q20" s="42">
        <f t="shared" si="12"/>
        <v>0</v>
      </c>
      <c r="R20" s="42">
        <f t="shared" si="12"/>
        <v>16</v>
      </c>
      <c r="S20" s="42"/>
      <c r="T20" s="42"/>
      <c r="U20" s="42">
        <f>SUM(U6:U19)</f>
        <v>0</v>
      </c>
      <c r="V20" s="42">
        <f t="shared" ref="V20:AI20" si="13">SUM(V6:V19)</f>
        <v>0</v>
      </c>
      <c r="W20" s="42">
        <f t="shared" si="13"/>
        <v>1</v>
      </c>
      <c r="X20" s="42">
        <f t="shared" si="13"/>
        <v>0</v>
      </c>
      <c r="Y20" s="42">
        <f t="shared" si="13"/>
        <v>2</v>
      </c>
      <c r="Z20" s="42">
        <f t="shared" si="13"/>
        <v>13</v>
      </c>
      <c r="AA20" s="42">
        <f t="shared" si="13"/>
        <v>0</v>
      </c>
      <c r="AB20" s="42">
        <f t="shared" si="13"/>
        <v>1</v>
      </c>
      <c r="AC20" s="42">
        <f t="shared" si="13"/>
        <v>0</v>
      </c>
      <c r="AD20" s="42">
        <f t="shared" si="13"/>
        <v>10</v>
      </c>
      <c r="AE20" s="42">
        <f t="shared" si="13"/>
        <v>0</v>
      </c>
      <c r="AF20" s="42">
        <f t="shared" si="13"/>
        <v>0</v>
      </c>
      <c r="AG20" s="42">
        <f t="shared" si="13"/>
        <v>0</v>
      </c>
      <c r="AH20" s="42">
        <f t="shared" si="13"/>
        <v>0</v>
      </c>
      <c r="AI20" s="42">
        <f t="shared" si="13"/>
        <v>5</v>
      </c>
      <c r="AJ20" s="42"/>
      <c r="AK20" s="42"/>
      <c r="AL20" s="42">
        <f>SUM(AL6:AL19)</f>
        <v>1</v>
      </c>
      <c r="AM20" s="42">
        <f t="shared" ref="AM20:AZ20" si="14">SUM(AM6:AM19)</f>
        <v>0</v>
      </c>
      <c r="AN20" s="42">
        <f t="shared" si="14"/>
        <v>0</v>
      </c>
      <c r="AO20" s="42">
        <f t="shared" si="14"/>
        <v>0</v>
      </c>
      <c r="AP20" s="42">
        <f t="shared" si="14"/>
        <v>2</v>
      </c>
      <c r="AQ20" s="42">
        <f t="shared" si="14"/>
        <v>4</v>
      </c>
      <c r="AR20" s="42">
        <f t="shared" si="14"/>
        <v>0</v>
      </c>
      <c r="AS20" s="42">
        <f t="shared" si="14"/>
        <v>0</v>
      </c>
      <c r="AT20" s="42">
        <f t="shared" si="14"/>
        <v>0</v>
      </c>
      <c r="AU20" s="42">
        <f t="shared" si="14"/>
        <v>2</v>
      </c>
      <c r="AV20" s="42">
        <f t="shared" si="14"/>
        <v>7</v>
      </c>
      <c r="AW20" s="42">
        <f t="shared" si="14"/>
        <v>0</v>
      </c>
      <c r="AX20" s="42">
        <f t="shared" si="14"/>
        <v>2</v>
      </c>
      <c r="AY20" s="42">
        <f t="shared" si="14"/>
        <v>0</v>
      </c>
      <c r="AZ20" s="42">
        <f t="shared" si="14"/>
        <v>11</v>
      </c>
      <c r="BA20" s="42"/>
      <c r="BB20" s="42"/>
      <c r="BC20" s="42">
        <f>SUM(BC6:BC19)</f>
        <v>9</v>
      </c>
      <c r="BD20" s="42">
        <f t="shared" ref="BD20:BQ20" si="15">SUM(BD6:BD19)</f>
        <v>1</v>
      </c>
      <c r="BE20" s="42">
        <f t="shared" si="15"/>
        <v>1</v>
      </c>
      <c r="BF20" s="42">
        <f t="shared" si="15"/>
        <v>0</v>
      </c>
      <c r="BG20" s="42">
        <f t="shared" si="15"/>
        <v>10</v>
      </c>
      <c r="BH20" s="42">
        <f t="shared" si="15"/>
        <v>89</v>
      </c>
      <c r="BI20" s="42">
        <f t="shared" si="15"/>
        <v>9</v>
      </c>
      <c r="BJ20" s="42">
        <f t="shared" si="15"/>
        <v>37</v>
      </c>
      <c r="BK20" s="42">
        <f t="shared" si="15"/>
        <v>12</v>
      </c>
      <c r="BL20" s="42">
        <f t="shared" si="15"/>
        <v>43</v>
      </c>
      <c r="BM20" s="42">
        <f t="shared" si="15"/>
        <v>1</v>
      </c>
      <c r="BN20" s="42">
        <f t="shared" si="15"/>
        <v>0</v>
      </c>
      <c r="BO20" s="42">
        <f t="shared" si="15"/>
        <v>0</v>
      </c>
      <c r="BP20" s="42">
        <f t="shared" si="15"/>
        <v>0</v>
      </c>
      <c r="BQ20" s="42">
        <f t="shared" si="15"/>
        <v>2</v>
      </c>
      <c r="BR20" s="42"/>
      <c r="BS20" s="42"/>
      <c r="BT20" s="63">
        <f>SUM(BT6:BT19)</f>
        <v>793</v>
      </c>
      <c r="BU20" s="64">
        <f>BT20/C20*100%</f>
        <v>0.82776617954070986</v>
      </c>
    </row>
    <row r="22" spans="1:73" x14ac:dyDescent="0.25">
      <c r="B22" s="66"/>
      <c r="C22" s="66"/>
    </row>
    <row r="23" spans="1:73" ht="37.5" x14ac:dyDescent="0.25">
      <c r="B23" s="68" t="s">
        <v>39</v>
      </c>
      <c r="C23" s="68" t="s">
        <v>22</v>
      </c>
      <c r="D23" s="69" t="s">
        <v>40</v>
      </c>
      <c r="BT23" s="70"/>
    </row>
    <row r="24" spans="1:73" x14ac:dyDescent="0.25">
      <c r="B24" s="71" t="s">
        <v>41</v>
      </c>
      <c r="C24" s="68">
        <f>D20+I20+N20+U20+Z20+AE20+AL20+AQ20+AV20+BC20+BH20+BM20</f>
        <v>172</v>
      </c>
      <c r="D24" s="72">
        <f>C24/C20*100</f>
        <v>17.954070981210858</v>
      </c>
    </row>
    <row r="25" spans="1:73" x14ac:dyDescent="0.25">
      <c r="B25" s="71" t="s">
        <v>42</v>
      </c>
      <c r="C25" s="68">
        <f>E20+J20+O20+V20+AA20+AF20+AM20+AR20+AW20+BD20+BI20+BN20</f>
        <v>35</v>
      </c>
      <c r="D25" s="72">
        <f>C25/C20*100</f>
        <v>3.6534446764091859</v>
      </c>
    </row>
    <row r="26" spans="1:73" x14ac:dyDescent="0.25">
      <c r="B26" s="71" t="s">
        <v>43</v>
      </c>
      <c r="C26" s="68">
        <f>F20+K20+P20+W20+AB20+AG20+AN20+AS20+AX20+BE20+BJ20+BO20</f>
        <v>49</v>
      </c>
      <c r="D26" s="72">
        <f>C26/C20*100</f>
        <v>5.1148225469728601</v>
      </c>
    </row>
    <row r="27" spans="1:73" x14ac:dyDescent="0.25">
      <c r="B27" s="71" t="s">
        <v>44</v>
      </c>
      <c r="C27" s="68">
        <f>G20+L20+Q20+X20+AC20+AH20+AO20+AT20+AY20+BF20+BK20+BP20</f>
        <v>13</v>
      </c>
      <c r="D27" s="72">
        <f>C27/C20*100</f>
        <v>1.3569937369519833</v>
      </c>
    </row>
    <row r="28" spans="1:73" x14ac:dyDescent="0.25">
      <c r="B28" s="71" t="s">
        <v>45</v>
      </c>
      <c r="C28" s="68">
        <f>H20+M20+R20+Y20+AD20+AI20+AP20+AU20+AZ20+BG20+BL20+BQ20</f>
        <v>524</v>
      </c>
      <c r="D28" s="72">
        <f>C28/C20*100</f>
        <v>54.697286012526092</v>
      </c>
    </row>
  </sheetData>
  <mergeCells count="38">
    <mergeCell ref="BH4:BL4"/>
    <mergeCell ref="BM4:BQ4"/>
    <mergeCell ref="B22:C22"/>
    <mergeCell ref="BH3:BL3"/>
    <mergeCell ref="BM3:BQ3"/>
    <mergeCell ref="BR3:BS4"/>
    <mergeCell ref="D4:H4"/>
    <mergeCell ref="I4:M4"/>
    <mergeCell ref="N4:R4"/>
    <mergeCell ref="U4:Y4"/>
    <mergeCell ref="Z4:AD4"/>
    <mergeCell ref="AE4:AI4"/>
    <mergeCell ref="AL4:AP4"/>
    <mergeCell ref="AJ3:AK4"/>
    <mergeCell ref="AL3:AP3"/>
    <mergeCell ref="AQ3:AU3"/>
    <mergeCell ref="AV3:AZ3"/>
    <mergeCell ref="BA3:BB4"/>
    <mergeCell ref="BC3:BG3"/>
    <mergeCell ref="AQ4:AU4"/>
    <mergeCell ref="AV4:AZ4"/>
    <mergeCell ref="BC4:BG4"/>
    <mergeCell ref="I3:M3"/>
    <mergeCell ref="N3:R3"/>
    <mergeCell ref="S3:T4"/>
    <mergeCell ref="U3:Y3"/>
    <mergeCell ref="Z3:AD3"/>
    <mergeCell ref="AE3:AI3"/>
    <mergeCell ref="A1:BU1"/>
    <mergeCell ref="A2:A5"/>
    <mergeCell ref="B2:B5"/>
    <mergeCell ref="C2:C5"/>
    <mergeCell ref="D2:T2"/>
    <mergeCell ref="U2:AK2"/>
    <mergeCell ref="AL2:BB2"/>
    <mergeCell ref="BC2:BS2"/>
    <mergeCell ref="BT2:BU4"/>
    <mergeCell ref="D3:H3"/>
  </mergeCells>
  <pageMargins left="0.196850393700787" right="0.196850393700787" top="0.196850393700787" bottom="0.196850393700787" header="0.196850393700787" footer="0.196850393700787"/>
  <pageSetup paperSize="5" scale="55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2025</vt:lpstr>
      <vt:lpstr>2024</vt:lpstr>
      <vt:lpstr>2023</vt:lpstr>
      <vt:lpstr>2022</vt:lpstr>
      <vt:lpstr>'2022'!Print_Area</vt:lpstr>
      <vt:lpstr>'2025'!Print_Area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annisa lubis</dc:creator>
  <cp:lastModifiedBy>wanda annisa lubis</cp:lastModifiedBy>
  <dcterms:created xsi:type="dcterms:W3CDTF">2026-09-21T08:48:49Z</dcterms:created>
  <dcterms:modified xsi:type="dcterms:W3CDTF">2026-09-21T08:50:17Z</dcterms:modified>
</cp:coreProperties>
</file>