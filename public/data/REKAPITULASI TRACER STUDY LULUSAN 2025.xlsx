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WANDA\WANDACODEX\public\data\"/>
    </mc:Choice>
  </mc:AlternateContent>
  <xr:revisionPtr revIDLastSave="0" documentId="8_{DB22059F-8389-4024-863E-5B11C91600CF}" xr6:coauthVersionLast="47" xr6:coauthVersionMax="47" xr10:uidLastSave="{00000000-0000-0000-0000-000000000000}"/>
  <bookViews>
    <workbookView xWindow="-120" yWindow="-120" windowWidth="29040" windowHeight="15720" xr2:uid="{5203CDE9-BAB8-4C81-8688-3E0D38F1290E}"/>
  </bookViews>
  <sheets>
    <sheet name="Data tiap prodi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0" i="1" l="1"/>
  <c r="H20" i="1"/>
  <c r="G20" i="1"/>
  <c r="F20" i="1"/>
  <c r="E20" i="1"/>
  <c r="D20" i="1"/>
  <c r="K19" i="1"/>
  <c r="J19" i="1"/>
  <c r="K18" i="1"/>
  <c r="J18" i="1"/>
  <c r="K17" i="1"/>
  <c r="J17" i="1"/>
  <c r="K16" i="1"/>
  <c r="J16" i="1"/>
  <c r="K15" i="1"/>
  <c r="J15" i="1"/>
  <c r="K14" i="1"/>
  <c r="J14" i="1"/>
  <c r="K13" i="1"/>
  <c r="J13" i="1"/>
  <c r="K12" i="1"/>
  <c r="J12" i="1"/>
  <c r="K11" i="1"/>
  <c r="J11" i="1"/>
  <c r="K10" i="1"/>
  <c r="J10" i="1"/>
  <c r="K9" i="1"/>
  <c r="J9" i="1"/>
  <c r="K8" i="1"/>
  <c r="J8" i="1"/>
  <c r="K7" i="1"/>
  <c r="J7" i="1"/>
  <c r="J20" i="1" s="1"/>
  <c r="K6" i="1"/>
  <c r="K20" i="1" s="1"/>
  <c r="J6" i="1"/>
</calcChain>
</file>

<file path=xl/sharedStrings.xml><?xml version="1.0" encoding="utf-8"?>
<sst xmlns="http://schemas.openxmlformats.org/spreadsheetml/2006/main" count="25" uniqueCount="25">
  <si>
    <t>No</t>
  </si>
  <si>
    <t>PROGRAM STUDI</t>
  </si>
  <si>
    <t>Lulusan 2024</t>
  </si>
  <si>
    <t>Bekerja</t>
  </si>
  <si>
    <t>belum memungkinkan bekerja</t>
  </si>
  <si>
    <t>wiraswasta</t>
  </si>
  <si>
    <t>Melanjutkan Pendidikan</t>
  </si>
  <si>
    <t>Masih Mencari Pekerjaan</t>
  </si>
  <si>
    <t>Total Respons Rate</t>
  </si>
  <si>
    <t>Total</t>
  </si>
  <si>
    <t>Persen</t>
  </si>
  <si>
    <t>D3 Akuntansi</t>
  </si>
  <si>
    <t>D3 Kesekretariatan</t>
  </si>
  <si>
    <t>D3 Keuangan</t>
  </si>
  <si>
    <t>D3 Analis Farmasi dan Makanan</t>
  </si>
  <si>
    <t>D3 Perpajakan</t>
  </si>
  <si>
    <t>D3 Bahasa Inggris</t>
  </si>
  <si>
    <t>D3 Bahasa Jepang</t>
  </si>
  <si>
    <t>D3 Perpustakaan</t>
  </si>
  <si>
    <t>D3 Perjalanan Wisata</t>
  </si>
  <si>
    <t>D3 Kimia</t>
  </si>
  <si>
    <t>D3 Fisika</t>
  </si>
  <si>
    <t>D3 Teknik Informatika</t>
  </si>
  <si>
    <t>D3 Metrologi dan Instrumentasi</t>
  </si>
  <si>
    <t>D3 Statistika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</si>
</sst>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6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9BBB5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2" fillId="3" borderId="1" xfId="1" applyFont="1" applyFill="1" applyBorder="1" applyAlignment="1">
      <alignment horizontal="center" vertical="center" wrapText="1"/>
    </xf>
    <xf numFmtId="0" fontId="2" fillId="4" borderId="1" xfId="1" applyFont="1" applyFill="1" applyBorder="1" applyAlignment="1">
      <alignment horizontal="center" vertical="center" wrapText="1"/>
    </xf>
    <xf numFmtId="0" fontId="2" fillId="5" borderId="1" xfId="1" applyFont="1" applyFill="1" applyBorder="1" applyAlignment="1">
      <alignment horizontal="center" vertical="center" wrapText="1"/>
    </xf>
    <xf numFmtId="0" fontId="1" fillId="0" borderId="0" xfId="1"/>
    <xf numFmtId="0" fontId="2" fillId="5" borderId="1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vertical="center" wrapText="1"/>
    </xf>
    <xf numFmtId="0" fontId="3" fillId="2" borderId="1" xfId="1" applyFont="1" applyFill="1" applyBorder="1" applyAlignment="1">
      <alignment horizontal="center" wrapText="1"/>
    </xf>
    <xf numFmtId="0" fontId="3" fillId="3" borderId="1" xfId="1" applyFont="1" applyFill="1" applyBorder="1" applyAlignment="1">
      <alignment horizontal="center" wrapText="1"/>
    </xf>
    <xf numFmtId="0" fontId="4" fillId="4" borderId="1" xfId="1" applyFont="1" applyFill="1" applyBorder="1" applyAlignment="1">
      <alignment horizontal="center" wrapText="1"/>
    </xf>
    <xf numFmtId="9" fontId="2" fillId="5" borderId="1" xfId="1" applyNumberFormat="1" applyFont="1" applyFill="1" applyBorder="1" applyAlignment="1">
      <alignment horizontal="center" vertical="center" wrapText="1"/>
    </xf>
    <xf numFmtId="0" fontId="3" fillId="0" borderId="0" xfId="1" applyFont="1" applyAlignment="1">
      <alignment wrapText="1"/>
    </xf>
    <xf numFmtId="0" fontId="2" fillId="5" borderId="2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9" fontId="2" fillId="2" borderId="2" xfId="1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3" xfId="1" xr:uid="{6C66D76A-52FC-4ACD-B386-088A9C425D7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567-2A1A-46CB-A4A2-C850D7BDED83}">
  <dimension ref="B2:K21"/>
  <sheetViews>
    <sheetView tabSelected="1" workbookViewId="0">
      <selection activeCell="B2" sqref="B2:D20"/>
    </sheetView>
  </sheetViews>
  <sheetFormatPr defaultRowHeight="15" x14ac:dyDescent="0.25"/>
  <cols>
    <col min="1" max="1" width="9.140625" style="5"/>
    <col min="2" max="2" width="3.85546875" style="5" bestFit="1" customWidth="1"/>
    <col min="3" max="3" width="30.140625" style="5" bestFit="1" customWidth="1"/>
    <col min="4" max="4" width="13.85546875" style="5" customWidth="1"/>
    <col min="5" max="5" width="14" style="5" customWidth="1"/>
    <col min="6" max="6" width="15.42578125" style="5" customWidth="1"/>
    <col min="7" max="7" width="14.28515625" style="5" customWidth="1"/>
    <col min="8" max="8" width="13.5703125" style="5" customWidth="1"/>
    <col min="9" max="9" width="14.7109375" style="5" customWidth="1"/>
    <col min="10" max="10" width="8.85546875" style="5" customWidth="1"/>
    <col min="11" max="11" width="8.7109375" style="5" customWidth="1"/>
    <col min="12" max="16384" width="9.140625" style="5"/>
  </cols>
  <sheetData>
    <row r="2" spans="2:11" x14ac:dyDescent="0.25">
      <c r="B2" s="1" t="s">
        <v>0</v>
      </c>
      <c r="C2" s="1" t="s">
        <v>1</v>
      </c>
      <c r="D2" s="1" t="s">
        <v>2</v>
      </c>
      <c r="E2" s="2" t="s">
        <v>3</v>
      </c>
      <c r="F2" s="3" t="s">
        <v>4</v>
      </c>
      <c r="G2" s="2" t="s">
        <v>5</v>
      </c>
      <c r="H2" s="2" t="s">
        <v>6</v>
      </c>
      <c r="I2" s="3" t="s">
        <v>7</v>
      </c>
      <c r="J2" s="4" t="s">
        <v>8</v>
      </c>
      <c r="K2" s="4"/>
    </row>
    <row r="3" spans="2:11" ht="15" customHeight="1" x14ac:dyDescent="0.25">
      <c r="B3" s="1"/>
      <c r="C3" s="1"/>
      <c r="D3" s="1"/>
      <c r="E3" s="2"/>
      <c r="F3" s="3"/>
      <c r="G3" s="2"/>
      <c r="H3" s="2"/>
      <c r="I3" s="3"/>
      <c r="J3" s="4"/>
      <c r="K3" s="4"/>
    </row>
    <row r="4" spans="2:11" ht="15.75" customHeight="1" x14ac:dyDescent="0.25">
      <c r="B4" s="1"/>
      <c r="C4" s="1"/>
      <c r="D4" s="1"/>
      <c r="E4" s="2"/>
      <c r="F4" s="3"/>
      <c r="G4" s="2"/>
      <c r="H4" s="2"/>
      <c r="I4" s="3"/>
      <c r="J4" s="4"/>
      <c r="K4" s="4"/>
    </row>
    <row r="5" spans="2:11" ht="15.75" x14ac:dyDescent="0.25">
      <c r="B5" s="1"/>
      <c r="C5" s="1"/>
      <c r="D5" s="1"/>
      <c r="E5" s="2"/>
      <c r="F5" s="3"/>
      <c r="G5" s="2"/>
      <c r="H5" s="2"/>
      <c r="I5" s="3"/>
      <c r="J5" s="6" t="s">
        <v>9</v>
      </c>
      <c r="K5" s="6" t="s">
        <v>10</v>
      </c>
    </row>
    <row r="6" spans="2:11" ht="20.25" x14ac:dyDescent="0.3">
      <c r="B6" s="7">
        <v>1</v>
      </c>
      <c r="C6" s="8" t="s">
        <v>11</v>
      </c>
      <c r="D6" s="9">
        <v>58</v>
      </c>
      <c r="E6" s="10">
        <v>10</v>
      </c>
      <c r="F6" s="11">
        <v>3</v>
      </c>
      <c r="G6" s="10">
        <v>1</v>
      </c>
      <c r="H6" s="10">
        <v>6</v>
      </c>
      <c r="I6" s="11">
        <v>38</v>
      </c>
      <c r="J6" s="6">
        <f>SUM(E6:I6)</f>
        <v>58</v>
      </c>
      <c r="K6" s="12">
        <f>J6/D6*100%</f>
        <v>1</v>
      </c>
    </row>
    <row r="7" spans="2:11" ht="20.25" x14ac:dyDescent="0.3">
      <c r="B7" s="7">
        <v>2</v>
      </c>
      <c r="C7" s="8" t="s">
        <v>12</v>
      </c>
      <c r="D7" s="9">
        <v>55</v>
      </c>
      <c r="E7" s="10">
        <v>5</v>
      </c>
      <c r="F7" s="11">
        <v>1</v>
      </c>
      <c r="G7" s="10">
        <v>3</v>
      </c>
      <c r="H7" s="10">
        <v>1</v>
      </c>
      <c r="I7" s="11">
        <v>45</v>
      </c>
      <c r="J7" s="6">
        <f t="shared" ref="J7:J19" si="0">SUM(E7:I7)</f>
        <v>55</v>
      </c>
      <c r="K7" s="12">
        <f t="shared" ref="K7:K19" si="1">J7/D7*100%</f>
        <v>1</v>
      </c>
    </row>
    <row r="8" spans="2:11" ht="20.25" x14ac:dyDescent="0.3">
      <c r="B8" s="7">
        <v>3</v>
      </c>
      <c r="C8" s="8" t="s">
        <v>13</v>
      </c>
      <c r="D8" s="9">
        <v>58</v>
      </c>
      <c r="E8" s="10">
        <v>10</v>
      </c>
      <c r="F8" s="11">
        <v>2</v>
      </c>
      <c r="G8" s="10">
        <v>21</v>
      </c>
      <c r="H8" s="10">
        <v>1</v>
      </c>
      <c r="I8" s="11">
        <v>24</v>
      </c>
      <c r="J8" s="6">
        <f t="shared" si="0"/>
        <v>58</v>
      </c>
      <c r="K8" s="12">
        <f t="shared" si="1"/>
        <v>1</v>
      </c>
    </row>
    <row r="9" spans="2:11" ht="20.25" x14ac:dyDescent="0.3">
      <c r="B9" s="7">
        <v>4</v>
      </c>
      <c r="C9" s="8" t="s">
        <v>14</v>
      </c>
      <c r="D9" s="9">
        <v>16</v>
      </c>
      <c r="E9" s="10"/>
      <c r="F9" s="11">
        <v>1</v>
      </c>
      <c r="G9" s="10"/>
      <c r="H9" s="10">
        <v>5</v>
      </c>
      <c r="I9" s="11">
        <v>7</v>
      </c>
      <c r="J9" s="6">
        <f t="shared" si="0"/>
        <v>13</v>
      </c>
      <c r="K9" s="12">
        <f t="shared" si="1"/>
        <v>0.8125</v>
      </c>
    </row>
    <row r="10" spans="2:11" ht="20.25" x14ac:dyDescent="0.3">
      <c r="B10" s="7">
        <v>5</v>
      </c>
      <c r="C10" s="8" t="s">
        <v>15</v>
      </c>
      <c r="D10" s="9">
        <v>69</v>
      </c>
      <c r="E10" s="10">
        <v>13</v>
      </c>
      <c r="F10" s="11">
        <v>2</v>
      </c>
      <c r="G10" s="10"/>
      <c r="H10" s="10">
        <v>3</v>
      </c>
      <c r="I10" s="11">
        <v>49</v>
      </c>
      <c r="J10" s="6">
        <f t="shared" si="0"/>
        <v>67</v>
      </c>
      <c r="K10" s="12">
        <f t="shared" si="1"/>
        <v>0.97101449275362317</v>
      </c>
    </row>
    <row r="11" spans="2:11" ht="20.25" x14ac:dyDescent="0.3">
      <c r="B11" s="7">
        <v>6</v>
      </c>
      <c r="C11" s="8" t="s">
        <v>16</v>
      </c>
      <c r="D11" s="9">
        <v>47</v>
      </c>
      <c r="E11" s="10">
        <v>7</v>
      </c>
      <c r="F11" s="11">
        <v>2</v>
      </c>
      <c r="G11" s="10">
        <v>1</v>
      </c>
      <c r="H11" s="10">
        <v>1</v>
      </c>
      <c r="I11" s="11">
        <v>35</v>
      </c>
      <c r="J11" s="6">
        <f t="shared" si="0"/>
        <v>46</v>
      </c>
      <c r="K11" s="12">
        <f t="shared" si="1"/>
        <v>0.97872340425531912</v>
      </c>
    </row>
    <row r="12" spans="2:11" ht="20.25" x14ac:dyDescent="0.3">
      <c r="B12" s="7">
        <v>7</v>
      </c>
      <c r="C12" s="8" t="s">
        <v>17</v>
      </c>
      <c r="D12" s="9">
        <v>12</v>
      </c>
      <c r="E12" s="10">
        <v>2</v>
      </c>
      <c r="F12" s="11">
        <v>1</v>
      </c>
      <c r="G12" s="10"/>
      <c r="H12" s="10">
        <v>1</v>
      </c>
      <c r="I12" s="11">
        <v>8</v>
      </c>
      <c r="J12" s="6">
        <f t="shared" si="0"/>
        <v>12</v>
      </c>
      <c r="K12" s="12">
        <f t="shared" si="1"/>
        <v>1</v>
      </c>
    </row>
    <row r="13" spans="2:11" ht="20.25" x14ac:dyDescent="0.3">
      <c r="B13" s="7">
        <v>8</v>
      </c>
      <c r="C13" s="8" t="s">
        <v>18</v>
      </c>
      <c r="D13" s="9">
        <v>28</v>
      </c>
      <c r="E13" s="10">
        <v>4</v>
      </c>
      <c r="F13" s="11">
        <v>2</v>
      </c>
      <c r="G13" s="10"/>
      <c r="H13" s="10">
        <v>2</v>
      </c>
      <c r="I13" s="11">
        <v>21</v>
      </c>
      <c r="J13" s="6">
        <f t="shared" si="0"/>
        <v>29</v>
      </c>
      <c r="K13" s="12">
        <f t="shared" si="1"/>
        <v>1.0357142857142858</v>
      </c>
    </row>
    <row r="14" spans="2:11" ht="20.25" x14ac:dyDescent="0.3">
      <c r="B14" s="7">
        <v>9</v>
      </c>
      <c r="C14" s="8" t="s">
        <v>19</v>
      </c>
      <c r="D14" s="9">
        <v>65</v>
      </c>
      <c r="E14" s="10">
        <v>17</v>
      </c>
      <c r="F14" s="11">
        <v>2</v>
      </c>
      <c r="G14" s="10">
        <v>1</v>
      </c>
      <c r="H14" s="10"/>
      <c r="I14" s="11">
        <v>45</v>
      </c>
      <c r="J14" s="6">
        <f t="shared" si="0"/>
        <v>65</v>
      </c>
      <c r="K14" s="12">
        <f t="shared" si="1"/>
        <v>1</v>
      </c>
    </row>
    <row r="15" spans="2:11" ht="20.25" x14ac:dyDescent="0.3">
      <c r="B15" s="7">
        <v>10</v>
      </c>
      <c r="C15" s="8" t="s">
        <v>20</v>
      </c>
      <c r="D15" s="9">
        <v>44</v>
      </c>
      <c r="E15" s="10">
        <v>2</v>
      </c>
      <c r="F15" s="11"/>
      <c r="G15" s="10"/>
      <c r="H15" s="10">
        <v>1</v>
      </c>
      <c r="I15" s="11">
        <v>41</v>
      </c>
      <c r="J15" s="6">
        <f t="shared" si="0"/>
        <v>44</v>
      </c>
      <c r="K15" s="12">
        <f t="shared" si="1"/>
        <v>1</v>
      </c>
    </row>
    <row r="16" spans="2:11" ht="20.25" x14ac:dyDescent="0.3">
      <c r="B16" s="7">
        <v>11</v>
      </c>
      <c r="C16" s="8" t="s">
        <v>21</v>
      </c>
      <c r="D16" s="9">
        <v>23</v>
      </c>
      <c r="E16" s="10">
        <v>5</v>
      </c>
      <c r="F16" s="11"/>
      <c r="G16" s="10"/>
      <c r="H16" s="10">
        <v>1</v>
      </c>
      <c r="I16" s="11">
        <v>16</v>
      </c>
      <c r="J16" s="6">
        <f t="shared" si="0"/>
        <v>22</v>
      </c>
      <c r="K16" s="12">
        <f t="shared" si="1"/>
        <v>0.95652173913043481</v>
      </c>
    </row>
    <row r="17" spans="2:11" ht="20.25" x14ac:dyDescent="0.3">
      <c r="B17" s="7">
        <v>12</v>
      </c>
      <c r="C17" s="8" t="s">
        <v>22</v>
      </c>
      <c r="D17" s="9">
        <v>48</v>
      </c>
      <c r="E17" s="10">
        <v>3</v>
      </c>
      <c r="F17" s="11">
        <v>7</v>
      </c>
      <c r="G17" s="10">
        <v>1</v>
      </c>
      <c r="H17" s="10">
        <v>3</v>
      </c>
      <c r="I17" s="11">
        <v>34</v>
      </c>
      <c r="J17" s="6">
        <f t="shared" si="0"/>
        <v>48</v>
      </c>
      <c r="K17" s="12">
        <f t="shared" si="1"/>
        <v>1</v>
      </c>
    </row>
    <row r="18" spans="2:11" ht="20.25" x14ac:dyDescent="0.3">
      <c r="B18" s="7">
        <v>13</v>
      </c>
      <c r="C18" s="8" t="s">
        <v>23</v>
      </c>
      <c r="D18" s="9">
        <v>56</v>
      </c>
      <c r="E18" s="10">
        <v>9</v>
      </c>
      <c r="F18" s="11"/>
      <c r="G18" s="10">
        <v>6</v>
      </c>
      <c r="H18" s="10">
        <v>1</v>
      </c>
      <c r="I18" s="11">
        <v>40</v>
      </c>
      <c r="J18" s="6">
        <f t="shared" si="0"/>
        <v>56</v>
      </c>
      <c r="K18" s="12">
        <f t="shared" si="1"/>
        <v>1</v>
      </c>
    </row>
    <row r="19" spans="2:11" ht="20.25" x14ac:dyDescent="0.3">
      <c r="B19" s="7">
        <v>14</v>
      </c>
      <c r="C19" s="8" t="s">
        <v>24</v>
      </c>
      <c r="D19" s="9">
        <v>46</v>
      </c>
      <c r="E19" s="10">
        <v>6</v>
      </c>
      <c r="F19" s="11">
        <v>5</v>
      </c>
      <c r="G19" s="10">
        <v>1</v>
      </c>
      <c r="H19" s="10">
        <v>2</v>
      </c>
      <c r="I19" s="11">
        <v>30</v>
      </c>
      <c r="J19" s="6">
        <f t="shared" si="0"/>
        <v>44</v>
      </c>
      <c r="K19" s="12">
        <f t="shared" si="1"/>
        <v>0.95652173913043481</v>
      </c>
    </row>
    <row r="20" spans="2:11" ht="16.5" thickBot="1" x14ac:dyDescent="0.3">
      <c r="B20" s="13"/>
      <c r="C20" s="13"/>
      <c r="D20" s="14">
        <f>SUM(D6:D19)</f>
        <v>625</v>
      </c>
      <c r="E20" s="13">
        <f>SUM(E6:E19)</f>
        <v>93</v>
      </c>
      <c r="F20" s="13">
        <f t="shared" ref="F20:I20" si="2">SUM(F6:F19)</f>
        <v>28</v>
      </c>
      <c r="G20" s="13">
        <f t="shared" si="2"/>
        <v>35</v>
      </c>
      <c r="H20" s="13">
        <f t="shared" si="2"/>
        <v>28</v>
      </c>
      <c r="I20" s="13">
        <f t="shared" si="2"/>
        <v>433</v>
      </c>
      <c r="J20" s="15">
        <f>SUM(J6:J19)</f>
        <v>617</v>
      </c>
      <c r="K20" s="16">
        <f>SUM(K6:K19)/14</f>
        <v>0.97935683292743569</v>
      </c>
    </row>
    <row r="21" spans="2:11" ht="15.75" x14ac:dyDescent="0.25">
      <c r="B21" s="13"/>
      <c r="C21" s="13"/>
      <c r="D21" s="13"/>
      <c r="E21" s="13"/>
      <c r="F21" s="13"/>
      <c r="G21" s="13"/>
      <c r="H21" s="13"/>
      <c r="I21" s="13"/>
      <c r="J21" s="13"/>
      <c r="K21" s="13"/>
    </row>
  </sheetData>
  <mergeCells count="9">
    <mergeCell ref="H2:H5"/>
    <mergeCell ref="I2:I5"/>
    <mergeCell ref="J2:K4"/>
    <mergeCell ref="B2:B5"/>
    <mergeCell ref="C2:C5"/>
    <mergeCell ref="D2:D5"/>
    <mergeCell ref="E2:E5"/>
    <mergeCell ref="F2:F5"/>
    <mergeCell ref="G2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tiap prodi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wanda annisa lubis</dc:creator>
  <cp:lastModifiedBy>wanda annisa lubis</cp:lastModifiedBy>
  <dcterms:created xsi:type="dcterms:W3CDTF">2026-09-10T05:39:49Z</dcterms:created>
  <dcterms:modified xsi:type="dcterms:W3CDTF">2026-09-10T05:40:39Z</dcterms:modified>
</cp:coreProperties>
</file>